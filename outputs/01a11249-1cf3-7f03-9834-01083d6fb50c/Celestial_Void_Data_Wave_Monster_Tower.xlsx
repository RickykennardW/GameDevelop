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f6ef7acfb14c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aves" sheetId="1" r:id="Ra84822fd37ad4477"/>
    <x:sheet xmlns:r="http://schemas.openxmlformats.org/officeDocument/2006/relationships" name="Monster" sheetId="2" r:id="R37befb7691cb4090"/>
    <x:sheet xmlns:r="http://schemas.openxmlformats.org/officeDocument/2006/relationships" name="Tower" sheetId="3" r:id="R464335d9f26245cf"/>
    <x:sheet xmlns:r="http://schemas.openxmlformats.org/officeDocument/2006/relationships" name="Upgrade" sheetId="4" r:id="R461fc0504c3140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0"/>
    <x:numFmt numFmtId="202" formatCode="0.0"/>
    <x:numFmt numFmtId="203" formatCode="0.00"/>
    <x:numFmt numFmtId="204" formatCode="0%"/>
    <x:numFmt numFmtId="205" formatCode="0.000"/>
  </x:numFmts>
  <x:fonts count="7">
    <x:font>
      <x:sz val="11"/>
      <x:name val="Carlito"/>
    </x:font>
    <x:font>
      <x:sz val="10"/>
      <x:color rgb="FF282133"/>
      <x:name val="Arial"/>
    </x:font>
    <x:font>
      <x:b/>
      <x:sz val="16"/>
      <x:color rgb="FF4B2D73"/>
      <x:name val="Arial"/>
    </x:font>
    <x:font>
      <x:i/>
      <x:sz val="10"/>
      <x:color rgb="FF70677B"/>
      <x:name val="Arial"/>
    </x:font>
    <x:font>
      <x:b/>
      <x:sz val="10"/>
      <x:color rgb="FFFFFFFF"/>
      <x:name val="Arial"/>
    </x:font>
    <x:font>
      <x:b/>
      <x:sz val="10"/>
      <x:color rgb="FF4B2D73"/>
      <x:name val="Arial"/>
    </x:font>
    <x:font>
      <x:b/>
      <x:sz val="10"/>
      <x:color rgb="FF28213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4B2D73"/>
      </x:patternFill>
    </x:fill>
    <x:fill>
      <x:patternFill patternType="solid">
        <x:fgColor rgb="FFF4EFF9"/>
      </x:patternFill>
    </x:fill>
  </x:fills>
  <x:borders count="7">
    <x:border>
      <x:left/>
      <x:right/>
      <x:top/>
      <x:bottom/>
      <x:diagonal/>
    </x:border>
    <x:border>
      <x:left/>
      <x:right/>
      <x:top/>
      <x:bottom style="thin">
        <x:color rgb="FFAB90C6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 style="thin">
        <x:color rgb="FFDED4EA"/>
      </x:right>
      <x:top/>
      <x:bottom/>
      <x:diagonal/>
    </x:border>
    <x:border>
      <x:left/>
      <x:right/>
      <x:top style="thin">
        <x:color rgb="FFAB90C6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horizontal="right" vertical="center"/>
    </x:xf>
    <x:xf numFmtId="200" fontId="1" fillId="4" borderId="0" xfId="0" applyNumberFormat="1" applyFont="1" applyFill="1" applyBorder="1" applyAlignment="1">
      <x:alignment horizontal="right" vertical="center"/>
    </x:xf>
    <x:xf numFmtId="201" fontId="1" fillId="2" borderId="0" xfId="0" applyNumberFormat="1" applyFont="1" applyFill="1" applyBorder="1" applyAlignment="1">
      <x:alignment horizontal="right" vertical="center"/>
    </x:xf>
    <x:xf numFmtId="201" fontId="1" fillId="4" borderId="0" xfId="0" applyNumberFormat="1" applyFont="1" applyFill="1" applyBorder="1" applyAlignment="1">
      <x:alignment horizontal="right" vertical="center"/>
    </x:xf>
    <x:xf numFmtId="200" fontId="1" fillId="2" borderId="5" xfId="0" applyNumberFormat="1" applyFont="1" applyFill="1" applyBorder="1" applyAlignment="1">
      <x:alignment horizontal="right" vertical="center"/>
    </x:xf>
    <x:xf numFmtId="200" fontId="1" fillId="4" borderId="5" xfId="0" applyNumberFormat="1" applyFont="1" applyFill="1" applyBorder="1" applyAlignment="1">
      <x:alignment horizontal="right" vertical="center"/>
    </x:xf>
    <x:xf numFmtId="0" fontId="5" fillId="2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horizontal="right" vertical="center"/>
    </x:xf>
    <x:xf numFmtId="203" fontId="1" fillId="2" borderId="0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vertical="center"/>
    </x:xf>
    <x:xf numFmtId="204" fontId="1" fillId="2" borderId="0" xfId="0" applyNumberFormat="1" applyFont="1" applyFill="1" applyBorder="1" applyAlignment="1">
      <x:alignment vertical="center"/>
    </x:xf>
    <x:xf numFmtId="204" fontId="1" fillId="4" borderId="0" xfId="0" applyNumberFormat="1" applyFont="1" applyFill="1" applyBorder="1" applyAlignment="1">
      <x:alignment vertical="center"/>
    </x:xf>
    <x:xf numFmtId="203" fontId="1" fillId="2" borderId="0" xfId="0" applyNumberFormat="1" applyFont="1" applyFill="1" applyBorder="1" applyAlignment="1">
      <x:alignment horizontal="right" vertical="center"/>
    </x:xf>
    <x:xf numFmtId="204" fontId="1" fillId="2" borderId="0" xfId="0" applyNumberFormat="1" applyFont="1" applyFill="1" applyBorder="1" applyAlignment="1">
      <x:alignment horizontal="right" vertical="center"/>
    </x:xf>
    <x:xf numFmtId="203" fontId="1" fillId="4" borderId="0" xfId="0" applyNumberFormat="1" applyFont="1" applyFill="1" applyBorder="1" applyAlignment="1">
      <x:alignment horizontal="right" vertical="center"/>
    </x:xf>
    <x:xf numFmtId="204" fontId="1" fillId="4" borderId="0" xfId="0" applyNumberFormat="1" applyFont="1" applyFill="1" applyBorder="1" applyAlignment="1">
      <x:alignment horizontal="right" vertical="center"/>
    </x:xf>
    <x:xf numFmtId="205" fontId="1" fillId="2" borderId="0" xfId="0" applyNumberFormat="1" applyFont="1" applyFill="1" applyBorder="1" applyAlignment="1">
      <x:alignment horizontal="right" vertical="center"/>
    </x:xf>
    <x:xf numFmtId="205" fontId="1" fillId="4" borderId="0" xfId="0" applyNumberFormat="1" applyFont="1" applyFill="1" applyBorder="1" applyAlignment="1">
      <x:alignment horizontal="right" vertical="center"/>
    </x:xf>
    <x:xf numFmtId="0" fontId="5" fillId="2" borderId="6" xfId="0" applyNumberFormat="1" applyFont="1" applyFill="1" applyBorder="1" applyAlignment="1">
      <x:alignment vertical="center"/>
    </x:xf>
    <x:xf numFmtId="200" fontId="5" fillId="2" borderId="6" xfId="0" applyNumberFormat="1" applyFont="1" applyFill="1" applyBorder="1" applyAlignment="1">
      <x:alignment vertical="center"/>
    </x:xf>
    <x:xf numFmtId="200" fontId="5" fillId="2" borderId="6" xfId="0" applyNumberFormat="1" applyFont="1" applyFill="1" applyBorder="1" applyAlignment="1">
      <x:alignment horizontal="right" vertical="center"/>
    </x:xf>
    <x:xf numFmtId="205" fontId="1" fillId="2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4B2D73"/>
      </x:font>
      <x:fill>
        <x:patternFill patternType="solid">
          <x:bgColor rgb="FFE7D7F4"/>
        </x:patternFill>
      </x:fill>
    </x:dxf>
    <x:dxf>
      <x:font>
        <x:b/>
        <x:color rgb="FF4B2D73"/>
      </x:font>
      <x:fill>
        <x:patternFill patternType="solid">
          <x:bgColor rgb="FFE7D7F4"/>
        </x:patternFill>
      </x:fill>
    </x:dxf>
    <x:dxf>
      <x:font>
        <x:b/>
        <x:color rgb="FFA22424"/>
      </x:font>
      <x:fill>
        <x:patternFill patternType="solid">
          <x:bgColor rgb="FFFCE3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65baed534f4ec8" /><Relationship Type="http://schemas.openxmlformats.org/officeDocument/2006/relationships/theme" Target="/xl/theme/theme1.xml" Id="Rfd31437d18204507" /><Relationship Type="http://schemas.openxmlformats.org/officeDocument/2006/relationships/sharedStrings" Target="/xl/sharedStrings.xml" Id="Rf8237c9355ae4e03" /><Relationship Type="http://schemas.openxmlformats.org/officeDocument/2006/relationships/worksheet" Target="/xl/worksheets/sheet1.xml" Id="Ra84822fd37ad4477" /><Relationship Type="http://schemas.openxmlformats.org/officeDocument/2006/relationships/worksheet" Target="/xl/worksheets/sheet2.xml" Id="R37befb7691cb4090" /><Relationship Type="http://schemas.openxmlformats.org/officeDocument/2006/relationships/worksheet" Target="/xl/worksheets/sheet3.xml" Id="R464335d9f26245cf" /><Relationship Type="http://schemas.openxmlformats.org/officeDocument/2006/relationships/worksheet" Target="/xl/worksheets/sheet4.xml" Id="R461fc0504c31404e" /></Relationships>
</file>

<file path=xl/tables/table1.xml><?xml version="1.0" encoding="utf-8"?>
<x:table xmlns:x="http://schemas.openxmlformats.org/spreadsheetml/2006/main" id="6" name="WaveRoster" displayName="WaveRoster" ref="A7:N52" headerRowCount="1" totalsRowCount="0" totalsRowShown="0">
  <x:autoFilter ref="A7:N52"/>
  <x:tableColumns count="14">
    <x:tableColumn id="1" name="Wave"/>
    <x:tableColumn id="2" name="Jenis wave"/>
    <x:tableColumn id="3" name="Nova Wisp"/>
    <x:tableColumn id="4" name="Void Hound"/>
    <x:tableColumn id="5" name="Void Sentinel"/>
    <x:tableColumn id="6" name="Void Guard"/>
    <x:tableColumn id="7" name="Void Brute"/>
    <x:tableColumn id="8" name="Void Golem"/>
    <x:tableColumn id="9" name="Total monster"/>
    <x:tableColumn id="10" name="Budget (Gold)"/>
    <x:tableColumn id="11" name="Gold kill maks"/>
    <x:tableColumn id="12" name="Sisa budget"/>
    <x:tableColumn id="13" name="Spawn interval (s)"/>
    <x:tableColumn id="14" name="Total HP dasar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1" name="MonsterStats" displayName="MonsterStats" ref="A7:K13" headerRowCount="1" totalsRowCount="0" totalsRowShown="0">
  <x:autoFilter ref="A7:K13"/>
  <x:tableColumns count="11">
    <x:tableColumn id="1" name="ID Monster"/>
    <x:tableColumn id="2" name="Nama"/>
    <x:tableColumn id="3" name="Kelas"/>
    <x:tableColumn id="4" name="HP"/>
    <x:tableColumn id="5" name="Speed (px/s)"/>
    <x:tableColumn id="6" name="Reward (Gold)"/>
    <x:tableColumn id="7" name="Armor dasar"/>
    <x:tableColumn id="8" name="Armor saat buff"/>
    <x:tableColumn id="9" name="Unlock wave"/>
    <x:tableColumn id="10" name="Skill aktif"/>
    <x:tableColumn id="11" name="Damage Base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4" name="BaseTower" displayName="BaseTower" ref="A5:J6" headerRowCount="1" totalsRowCount="0" totalsRowShown="0">
  <x:autoFilter ref="A5:J6"/>
  <x:tableColumns count="10">
    <x:tableColumn id="1" name="Tower"/>
    <x:tableColumn id="2" name="Harga (Gold)"/>
    <x:tableColumn id="3" name="Base damage"/>
    <x:tableColumn id="4" name="Base range"/>
    <x:tableColumn id="5" name="Base interval (s)"/>
    <x:tableColumn id="6" name="Speed projectile"/>
    <x:tableColumn id="7" name="Awal shot"/>
    <x:tableColumn id="8" name="Min damage"/>
    <x:tableColumn id="9" name="Sell refund"/>
    <x:tableColumn id="10" name="Footprint radius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5" name="TowerBuilds" displayName="TowerBuilds" ref="A10:O31" headerRowCount="1" totalsRowCount="0" totalsRowShown="0">
  <x:autoFilter ref="A10:O31"/>
  <x:tableColumns count="15">
    <x:tableColumn id="1" name="Build"/>
    <x:tableColumn id="2" name="Path 1"/>
    <x:tableColumn id="3" name="Path 2"/>
    <x:tableColumn id="4" name="Damage sebelum fraksi"/>
    <x:tableColumn id="5" name="Jumlah projectile"/>
    <x:tableColumn id="6" name="Damage / projectile"/>
    <x:tableColumn id="7" name="Interval (s)"/>
    <x:tableColumn id="8" name="Range (px)"/>
    <x:tableColumn id="9" name="Splash %"/>
    <x:tableColumn id="10" name="Splash radius"/>
    <x:tableColumn id="11" name="DPS armor 0"/>
    <x:tableColumn id="12" name="DPS Golem armor 25"/>
    <x:tableColumn id="13" name="DPS Golem armor 35"/>
    <x:tableColumn id="14" name="Investasi (Gold)"/>
    <x:tableColumn id="15" name="Sell (Gold)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2" name="UpgradePrices" displayName="UpgradePrices" ref="A7:E15" headerRowCount="1" totalsRowCount="0" totalsRowShown="0">
  <x:autoFilter ref="A7:E15"/>
  <x:tableColumns count="5">
    <x:tableColumn id="1" name="Jalur"/>
    <x:tableColumn id="2" name="Tier"/>
    <x:tableColumn id="3" name="Nama upgrade"/>
    <x:tableColumn id="4" name="Harga (Gold)"/>
    <x:tableColumn id="5" name="Efek upgrade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3" name="TierMultipliers" displayName="TierMultipliers" ref="A21:K26" headerRowCount="1" totalsRowCount="0" totalsRowShown="0">
  <x:autoFilter ref="A21:K26"/>
  <x:tableColumns count="11">
    <x:tableColumn id="1" name="Tier"/>
    <x:tableColumn id="2" name="Damage x"/>
    <x:tableColumn id="3" name="Atk speed x"/>
    <x:tableColumn id="4" name="Range P1 x"/>
    <x:tableColumn id="5" name="Range P2 x"/>
    <x:tableColumn id="6" name="Jumlah shot"/>
    <x:tableColumn id="7" name="Damage fraksi"/>
    <x:tableColumn id="8" name="Splash %"/>
    <x:tableColumn id="9" name="Splash radius"/>
    <x:tableColumn id="10" name="Gold P1 kumulatif"/>
    <x:tableColumn id="11" name="Gold P2 kumulatif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84f8fc621b34c0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ac38fd1efc149a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bfd20788da44bfe" /><Relationship Type="http://schemas.openxmlformats.org/officeDocument/2006/relationships/table" Target="/xl/tables/table4.xml" Id="Rd7779679a181464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5665c9d139204fb6" /><Relationship Type="http://schemas.openxmlformats.org/officeDocument/2006/relationships/table" Target="/xl/tables/table6.xml" Id="R3921f77d0ea04611" /></Relationships>
</file>

<file path=xl/worksheets/sheet1.xml><?xml version="1.0" encoding="utf-8"?>
<x:worksheet xmlns:x="http://schemas.openxmlformats.org/spreadsheetml/2006/main">
  <x:sheetPr>
    <x:tabColor rgb="FF4B2D73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9.880000114440918" hidden="0" customWidth="1"/>
    <x:col min="2" max="2" width="12.880000114440918" hidden="0" customWidth="1"/>
    <x:col min="3" max="3" width="12.75" hidden="0" customWidth="1"/>
    <x:col min="4" max="4" width="12.75" hidden="0" customWidth="1"/>
    <x:col min="5" max="5" width="13.75" hidden="0" customWidth="1"/>
    <x:col min="6" max="6" width="12.75" hidden="0" customWidth="1"/>
    <x:col min="7" max="7" width="12.75" hidden="0" customWidth="1"/>
    <x:col min="8" max="8" width="12.75" hidden="0" customWidth="1"/>
    <x:col min="9" max="9" width="13.25" hidden="0" customWidth="1"/>
    <x:col min="10" max="10" width="13" hidden="0" customWidth="1"/>
    <x:col min="11" max="11" width="14.630000114440918" hidden="0" customWidth="1"/>
    <x:col min="12" max="12" width="13" hidden="0" customWidth="1"/>
    <x:col min="13" max="13" width="13.5" hidden="0" customWidth="1"/>
    <x:col min="14" max="14" width="15.880000114440918" hidden="0" customWidth="1"/>
  </x:cols>
  <x:sheetData>
    <x:row r="1" ht="23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0" customHeight="1">
      <x:c r="A2" s="5" t="str">
        <x:v>Celestial Void - Monster per Wave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 ht="23" customHeight="1">
      <x:c r="A3" s="3" t="str">
        <x:v>Seed aktif</x:v>
      </x:c>
      <x:c r="B3" s="15" t="n">
        <x:v>177017</x:v>
      </x:c>
      <x:c r="C3" s="15"/>
      <x:c r="D3" s="15" t="str">
        <x:v>Wave</x:v>
      </x:c>
      <x:c r="E3" s="15" t="n">
        <x:v>45</x:v>
      </x:c>
      <x:c r="F3" s="15"/>
      <x:c r="G3" s="15" t="str">
        <x:v>Total monster</x:v>
      </x:c>
      <x:c r="H3" s="15" t="n">
        <x:f>SUM(I8:I52)</x:f>
        <x:v>7117</x:v>
      </x:c>
      <x:c r="I3" s="15"/>
      <x:c r="J3" s="15" t="str">
        <x:v>Gold kill maks</x:v>
      </x:c>
      <x:c r="K3" s="15" t="n">
        <x:f>SUM(K8:K52)</x:f>
        <x:v>46980</x:v>
      </x:c>
      <x:c r="L3" s="15"/>
      <x:c r="M3" s="15"/>
      <x:c r="N3" s="15"/>
    </x:row>
    <x:row r="4" ht="23" customHeight="1">
      <x:c r="A4" s="6" t="str">
        <x:v>Jumlah monster adalah komposisi seed aktif. Angka 0 berarti jenis tidak terpilih pada wave tersebut.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</x:row>
    <x:row r="5" ht="23" customHeight="1">
      <x:c r="A5" s="6" t="str">
        <x:v>Gold kill maks mengasumsikan semua monster dibunuh. Tidak termasuk saldo awal, sell, atau belanja.</x:v>
      </x:c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</x:row>
    <x:row r="6" ht="23" customHeight="1">
      <x:c r="A6" s="6" t="str">
        <x:v>Sumber: generator Gold Budget pada event project aktif dan config WaveBudgetConfig.</x:v>
      </x:c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</x:row>
    <x:row r="7" ht="40" customHeight="1">
      <x:c r="A7" s="11" t="str">
        <x:v>Wave</x:v>
      </x:c>
      <x:c r="B7" s="12" t="str">
        <x:v>Jenis wave</x:v>
      </x:c>
      <x:c r="C7" s="12" t="str">
        <x:v>Nova Wisp</x:v>
      </x:c>
      <x:c r="D7" s="12" t="str">
        <x:v>Void Hound</x:v>
      </x:c>
      <x:c r="E7" s="12" t="str">
        <x:v>Void Sentinel</x:v>
      </x:c>
      <x:c r="F7" s="12" t="str">
        <x:v>Void Guard</x:v>
      </x:c>
      <x:c r="G7" s="12" t="str">
        <x:v>Void Brute</x:v>
      </x:c>
      <x:c r="H7" s="12" t="str">
        <x:v>Void Golem</x:v>
      </x:c>
      <x:c r="I7" s="12" t="str">
        <x:v>Total monster</x:v>
      </x:c>
      <x:c r="J7" s="12" t="str">
        <x:v>Budget (Gold)</x:v>
      </x:c>
      <x:c r="K7" s="12" t="str">
        <x:v>Gold kill maks</x:v>
      </x:c>
      <x:c r="L7" s="12" t="str">
        <x:v>Sisa budget</x:v>
      </x:c>
      <x:c r="M7" s="12" t="str">
        <x:v>Spawn interval (s)</x:v>
      </x:c>
      <x:c r="N7" s="13" t="str">
        <x:v>Total HP dasar</x:v>
      </x:c>
    </x:row>
    <x:row r="8" ht="23" customHeight="1">
      <x:c r="A8" s="17" t="n">
        <x:v>1</x:v>
      </x:c>
      <x:c r="B8" s="3" t="str">
        <x:v>Normal</x:v>
      </x:c>
      <x:c r="C8" s="19" t="n">
        <x:v>20</x:v>
      </x:c>
      <x:c r="D8" s="19" t="n">
        <x:v>0</x:v>
      </x:c>
      <x:c r="E8" s="19" t="n">
        <x:v>0</x:v>
      </x:c>
      <x:c r="F8" s="19" t="n">
        <x:v>0</x:v>
      </x:c>
      <x:c r="G8" s="19" t="n">
        <x:v>0</x:v>
      </x:c>
      <x:c r="H8" s="19" t="n">
        <x:v>0</x:v>
      </x:c>
      <x:c r="I8" s="19" t="n">
        <x:f>SUM(C8:H8)</x:f>
        <x:v>20</x:v>
      </x:c>
      <x:c r="J8" s="19" t="n">
        <x:f>ROUND(($B$59+$E$59*(A8-1-INT((A8-1)/$H$59)))*IF(MOD(A8,$H$59)=0,$K$59,1),0)</x:f>
        <x:v>100</x:v>
      </x:c>
      <x:c r="K8" s="19" t="n">
        <x:f>C8*VLOOKUP("Basic",'Monster'!$A$8:$K$13,6,FALSE)+D8*VLOOKUP("VoidHound",'Monster'!$A$8:$K$13,6,FALSE)+E8*VLOOKUP("VoidSentinel",'Monster'!$A$8:$K$13,6,FALSE)+F8*VLOOKUP("VoidGuard",'Monster'!$A$8:$K$13,6,FALSE)+G8*VLOOKUP("VoidBrute",'Monster'!$A$8:$K$13,6,FALSE)+H8*VLOOKUP("VoidGolem",'Monster'!$A$8:$K$13,6,FALSE)</x:f>
        <x:v>100</x:v>
      </x:c>
      <x:c r="L8" s="19" t="n">
        <x:f>J8-K8</x:f>
        <x:v>0</x:v>
      </x:c>
      <x:c r="M8" s="42" t="n">
        <x:f>MAX($B$61,$E$60-MAX(0,A8-$H$60)*$K$60)</x:f>
        <x:v>0.9</x:v>
      </x:c>
      <x:c r="N8" s="19" t="n">
        <x:f>C8*VLOOKUP("Basic",'Monster'!$A$8:$K$13,4,FALSE)+D8*VLOOKUP("VoidHound",'Monster'!$A$8:$K$13,4,FALSE)+E8*VLOOKUP("VoidSentinel",'Monster'!$A$8:$K$13,4,FALSE)+F8*VLOOKUP("VoidGuard",'Monster'!$A$8:$K$13,4,FALSE)+G8*VLOOKUP("VoidBrute",'Monster'!$A$8:$K$13,4,FALSE)+H8*VLOOKUP("VoidGolem",'Monster'!$A$8:$K$13,4,FALSE)</x:f>
        <x:v>2000</x:v>
      </x:c>
    </x:row>
    <x:row r="9" ht="23" customHeight="1">
      <x:c r="A9" s="18" t="n">
        <x:v>2</x:v>
      </x:c>
      <x:c r="B9" s="14" t="str">
        <x:v>Normal</x:v>
      </x:c>
      <x:c r="C9" s="20" t="n">
        <x:v>30</x:v>
      </x:c>
      <x:c r="D9" s="20" t="n">
        <x:v>0</x:v>
      </x:c>
      <x:c r="E9" s="20" t="n">
        <x:v>0</x:v>
      </x:c>
      <x:c r="F9" s="20" t="n">
        <x:v>0</x:v>
      </x:c>
      <x:c r="G9" s="20" t="n">
        <x:v>0</x:v>
      </x:c>
      <x:c r="H9" s="20" t="n">
        <x:v>0</x:v>
      </x:c>
      <x:c r="I9" s="20" t="n">
        <x:f>SUM(C9:H9)</x:f>
        <x:v>30</x:v>
      </x:c>
      <x:c r="J9" s="20" t="n">
        <x:f>ROUND(($B$59+$E$59*(A9-1-INT((A9-1)/$H$59)))*IF(MOD(A9,$H$59)=0,$K$59,1),0)</x:f>
        <x:v>150</x:v>
      </x:c>
      <x:c r="K9" s="20" t="n">
        <x:f>C9*VLOOKUP("Basic",'Monster'!$A$8:$K$13,6,FALSE)+D9*VLOOKUP("VoidHound",'Monster'!$A$8:$K$13,6,FALSE)+E9*VLOOKUP("VoidSentinel",'Monster'!$A$8:$K$13,6,FALSE)+F9*VLOOKUP("VoidGuard",'Monster'!$A$8:$K$13,6,FALSE)+G9*VLOOKUP("VoidBrute",'Monster'!$A$8:$K$13,6,FALSE)+H9*VLOOKUP("VoidGolem",'Monster'!$A$8:$K$13,6,FALSE)</x:f>
        <x:v>150</x:v>
      </x:c>
      <x:c r="L9" s="20" t="n">
        <x:f>J9-K9</x:f>
        <x:v>0</x:v>
      </x:c>
      <x:c r="M9" s="43" t="n">
        <x:f>MAX($B$61,$E$60-MAX(0,A9-$H$60)*$K$60)</x:f>
        <x:v>0.9</x:v>
      </x:c>
      <x:c r="N9" s="20" t="n">
        <x:f>C9*VLOOKUP("Basic",'Monster'!$A$8:$K$13,4,FALSE)+D9*VLOOKUP("VoidHound",'Monster'!$A$8:$K$13,4,FALSE)+E9*VLOOKUP("VoidSentinel",'Monster'!$A$8:$K$13,4,FALSE)+F9*VLOOKUP("VoidGuard",'Monster'!$A$8:$K$13,4,FALSE)+G9*VLOOKUP("VoidBrute",'Monster'!$A$8:$K$13,4,FALSE)+H9*VLOOKUP("VoidGolem",'Monster'!$A$8:$K$13,4,FALSE)</x:f>
        <x:v>3000</x:v>
      </x:c>
    </x:row>
    <x:row r="10" ht="23" customHeight="1">
      <x:c r="A10" s="17" t="n">
        <x:v>3</x:v>
      </x:c>
      <x:c r="B10" s="3" t="str">
        <x:v>Normal</x:v>
      </x:c>
      <x:c r="C10" s="19" t="n">
        <x:v>40</x:v>
      </x:c>
      <x:c r="D10" s="19" t="n">
        <x:v>0</x:v>
      </x:c>
      <x:c r="E10" s="19" t="n">
        <x:v>0</x:v>
      </x:c>
      <x:c r="F10" s="19" t="n">
        <x:v>0</x:v>
      </x:c>
      <x:c r="G10" s="19" t="n">
        <x:v>0</x:v>
      </x:c>
      <x:c r="H10" s="19" t="n">
        <x:v>0</x:v>
      </x:c>
      <x:c r="I10" s="19" t="n">
        <x:f>SUM(C10:H10)</x:f>
        <x:v>40</x:v>
      </x:c>
      <x:c r="J10" s="19" t="n">
        <x:f>ROUND(($B$59+$E$59*(A10-1-INT((A10-1)/$H$59)))*IF(MOD(A10,$H$59)=0,$K$59,1),0)</x:f>
        <x:v>200</x:v>
      </x:c>
      <x:c r="K10" s="19" t="n">
        <x:f>C10*VLOOKUP("Basic",'Monster'!$A$8:$K$13,6,FALSE)+D10*VLOOKUP("VoidHound",'Monster'!$A$8:$K$13,6,FALSE)+E10*VLOOKUP("VoidSentinel",'Monster'!$A$8:$K$13,6,FALSE)+F10*VLOOKUP("VoidGuard",'Monster'!$A$8:$K$13,6,FALSE)+G10*VLOOKUP("VoidBrute",'Monster'!$A$8:$K$13,6,FALSE)+H10*VLOOKUP("VoidGolem",'Monster'!$A$8:$K$13,6,FALSE)</x:f>
        <x:v>200</x:v>
      </x:c>
      <x:c r="L10" s="19" t="n">
        <x:f>J10-K10</x:f>
        <x:v>0</x:v>
      </x:c>
      <x:c r="M10" s="42" t="n">
        <x:f>MAX($B$61,$E$60-MAX(0,A10-$H$60)*$K$60)</x:f>
        <x:v>0.9</x:v>
      </x:c>
      <x:c r="N10" s="19" t="n">
        <x:f>C10*VLOOKUP("Basic",'Monster'!$A$8:$K$13,4,FALSE)+D10*VLOOKUP("VoidHound",'Monster'!$A$8:$K$13,4,FALSE)+E10*VLOOKUP("VoidSentinel",'Monster'!$A$8:$K$13,4,FALSE)+F10*VLOOKUP("VoidGuard",'Monster'!$A$8:$K$13,4,FALSE)+G10*VLOOKUP("VoidBrute",'Monster'!$A$8:$K$13,4,FALSE)+H10*VLOOKUP("VoidGolem",'Monster'!$A$8:$K$13,4,FALSE)</x:f>
        <x:v>4000</x:v>
      </x:c>
    </x:row>
    <x:row r="11" ht="23" customHeight="1">
      <x:c r="A11" s="18" t="n">
        <x:v>4</x:v>
      </x:c>
      <x:c r="B11" s="14" t="str">
        <x:v>Normal</x:v>
      </x:c>
      <x:c r="C11" s="20" t="n">
        <x:v>36</x:v>
      </x:c>
      <x:c r="D11" s="20" t="n">
        <x:v>10</x:v>
      </x:c>
      <x:c r="E11" s="20" t="n">
        <x:v>0</x:v>
      </x:c>
      <x:c r="F11" s="20" t="n">
        <x:v>0</x:v>
      </x:c>
      <x:c r="G11" s="20" t="n">
        <x:v>0</x:v>
      </x:c>
      <x:c r="H11" s="20" t="n">
        <x:v>0</x:v>
      </x:c>
      <x:c r="I11" s="20" t="n">
        <x:f>SUM(C11:H11)</x:f>
        <x:v>46</x:v>
      </x:c>
      <x:c r="J11" s="20" t="n">
        <x:f>ROUND(($B$59+$E$59*(A11-1-INT((A11-1)/$H$59)))*IF(MOD(A11,$H$59)=0,$K$59,1),0)</x:f>
        <x:v>250</x:v>
      </x:c>
      <x:c r="K11" s="20" t="n">
        <x:f>C11*VLOOKUP("Basic",'Monster'!$A$8:$K$13,6,FALSE)+D11*VLOOKUP("VoidHound",'Monster'!$A$8:$K$13,6,FALSE)+E11*VLOOKUP("VoidSentinel",'Monster'!$A$8:$K$13,6,FALSE)+F11*VLOOKUP("VoidGuard",'Monster'!$A$8:$K$13,6,FALSE)+G11*VLOOKUP("VoidBrute",'Monster'!$A$8:$K$13,6,FALSE)+H11*VLOOKUP("VoidGolem",'Monster'!$A$8:$K$13,6,FALSE)</x:f>
        <x:v>250</x:v>
      </x:c>
      <x:c r="L11" s="20" t="n">
        <x:f>J11-K11</x:f>
        <x:v>0</x:v>
      </x:c>
      <x:c r="M11" s="43" t="n">
        <x:f>MAX($B$61,$E$60-MAX(0,A11-$H$60)*$K$60)</x:f>
        <x:v>0.9</x:v>
      </x:c>
      <x:c r="N11" s="20" t="n">
        <x:f>C11*VLOOKUP("Basic",'Monster'!$A$8:$K$13,4,FALSE)+D11*VLOOKUP("VoidHound",'Monster'!$A$8:$K$13,4,FALSE)+E11*VLOOKUP("VoidSentinel",'Monster'!$A$8:$K$13,4,FALSE)+F11*VLOOKUP("VoidGuard",'Monster'!$A$8:$K$13,4,FALSE)+G11*VLOOKUP("VoidBrute",'Monster'!$A$8:$K$13,4,FALSE)+H11*VLOOKUP("VoidGolem",'Monster'!$A$8:$K$13,4,FALSE)</x:f>
        <x:v>4200</x:v>
      </x:c>
    </x:row>
    <x:row r="12" ht="23" customHeight="1">
      <x:c r="A12" s="17" t="n">
        <x:v>5</x:v>
      </x:c>
      <x:c r="B12" s="3" t="str">
        <x:v>Milestone</x:v>
      </x:c>
      <x:c r="C12" s="19" t="n">
        <x:v>2</x:v>
      </x:c>
      <x:c r="D12" s="19" t="n">
        <x:v>50</x:v>
      </x:c>
      <x:c r="E12" s="19" t="n">
        <x:v>0</x:v>
      </x:c>
      <x:c r="F12" s="19" t="n">
        <x:v>0</x:v>
      </x:c>
      <x:c r="G12" s="19" t="n">
        <x:v>0</x:v>
      </x:c>
      <x:c r="H12" s="19" t="n">
        <x:v>0</x:v>
      </x:c>
      <x:c r="I12" s="19" t="n">
        <x:f>SUM(C12:H12)</x:f>
        <x:v>52</x:v>
      </x:c>
      <x:c r="J12" s="19" t="n">
        <x:f>ROUND(($B$59+$E$59*(A12-1-INT((A12-1)/$H$59)))*IF(MOD(A12,$H$59)=0,$K$59,1),0)</x:f>
        <x:v>360</x:v>
      </x:c>
      <x:c r="K12" s="19" t="n">
        <x:f>C12*VLOOKUP("Basic",'Monster'!$A$8:$K$13,6,FALSE)+D12*VLOOKUP("VoidHound",'Monster'!$A$8:$K$13,6,FALSE)+E12*VLOOKUP("VoidSentinel",'Monster'!$A$8:$K$13,6,FALSE)+F12*VLOOKUP("VoidGuard",'Monster'!$A$8:$K$13,6,FALSE)+G12*VLOOKUP("VoidBrute",'Monster'!$A$8:$K$13,6,FALSE)+H12*VLOOKUP("VoidGolem",'Monster'!$A$8:$K$13,6,FALSE)</x:f>
        <x:v>360</x:v>
      </x:c>
      <x:c r="L12" s="19" t="n">
        <x:f>J12-K12</x:f>
        <x:v>0</x:v>
      </x:c>
      <x:c r="M12" s="42" t="n">
        <x:f>MAX($B$61,$E$60-MAX(0,A12-$H$60)*$K$60)</x:f>
        <x:v>0.9</x:v>
      </x:c>
      <x:c r="N12" s="19" t="n">
        <x:f>C12*VLOOKUP("Basic",'Monster'!$A$8:$K$13,4,FALSE)+D12*VLOOKUP("VoidHound",'Monster'!$A$8:$K$13,4,FALSE)+E12*VLOOKUP("VoidSentinel",'Monster'!$A$8:$K$13,4,FALSE)+F12*VLOOKUP("VoidGuard",'Monster'!$A$8:$K$13,4,FALSE)+G12*VLOOKUP("VoidBrute",'Monster'!$A$8:$K$13,4,FALSE)+H12*VLOOKUP("VoidGolem",'Monster'!$A$8:$K$13,4,FALSE)</x:f>
        <x:v>3200</x:v>
      </x:c>
    </x:row>
    <x:row r="13" ht="23" customHeight="1">
      <x:c r="A13" s="18" t="n">
        <x:v>6</x:v>
      </x:c>
      <x:c r="B13" s="14" t="str">
        <x:v>Normal</x:v>
      </x:c>
      <x:c r="C13" s="20" t="n">
        <x:v>28</x:v>
      </x:c>
      <x:c r="D13" s="20" t="n">
        <x:v>22</x:v>
      </x:c>
      <x:c r="E13" s="20" t="n">
        <x:v>1</x:v>
      </x:c>
      <x:c r="F13" s="20" t="n">
        <x:v>0</x:v>
      </x:c>
      <x:c r="G13" s="20" t="n">
        <x:v>0</x:v>
      </x:c>
      <x:c r="H13" s="20" t="n">
        <x:v>0</x:v>
      </x:c>
      <x:c r="I13" s="20" t="n">
        <x:f>SUM(C13:H13)</x:f>
        <x:v>51</x:v>
      </x:c>
      <x:c r="J13" s="20" t="n">
        <x:f>ROUND(($B$59+$E$59*(A13-1-INT((A13-1)/$H$59)))*IF(MOD(A13,$H$59)=0,$K$59,1),0)</x:f>
        <x:v>300</x:v>
      </x:c>
      <x:c r="K13" s="20" t="n">
        <x:f>C13*VLOOKUP("Basic",'Monster'!$A$8:$K$13,6,FALSE)+D13*VLOOKUP("VoidHound",'Monster'!$A$8:$K$13,6,FALSE)+E13*VLOOKUP("VoidSentinel",'Monster'!$A$8:$K$13,6,FALSE)+F13*VLOOKUP("VoidGuard",'Monster'!$A$8:$K$13,6,FALSE)+G13*VLOOKUP("VoidBrute",'Monster'!$A$8:$K$13,6,FALSE)+H13*VLOOKUP("VoidGolem",'Monster'!$A$8:$K$13,6,FALSE)</x:f>
        <x:v>300</x:v>
      </x:c>
      <x:c r="L13" s="20" t="n">
        <x:f>J13-K13</x:f>
        <x:v>0</x:v>
      </x:c>
      <x:c r="M13" s="43" t="n">
        <x:f>MAX($B$61,$E$60-MAX(0,A13-$H$60)*$K$60)</x:f>
        <x:v>0.885</x:v>
      </x:c>
      <x:c r="N13" s="20" t="n">
        <x:f>C13*VLOOKUP("Basic",'Monster'!$A$8:$K$13,4,FALSE)+D13*VLOOKUP("VoidHound",'Monster'!$A$8:$K$13,4,FALSE)+E13*VLOOKUP("VoidSentinel",'Monster'!$A$8:$K$13,4,FALSE)+F13*VLOOKUP("VoidGuard",'Monster'!$A$8:$K$13,4,FALSE)+G13*VLOOKUP("VoidBrute",'Monster'!$A$8:$K$13,4,FALSE)+H13*VLOOKUP("VoidGolem",'Monster'!$A$8:$K$13,4,FALSE)</x:f>
        <x:v>4240</x:v>
      </x:c>
    </x:row>
    <x:row r="14" ht="23" customHeight="1">
      <x:c r="A14" s="17" t="n">
        <x:v>7</x:v>
      </x:c>
      <x:c r="B14" s="3" t="str">
        <x:v>Normal</x:v>
      </x:c>
      <x:c r="C14" s="19" t="n">
        <x:v>35</x:v>
      </x:c>
      <x:c r="D14" s="19" t="n">
        <x:v>23</x:v>
      </x:c>
      <x:c r="E14" s="19" t="n">
        <x:v>1</x:v>
      </x:c>
      <x:c r="F14" s="19" t="n">
        <x:v>1</x:v>
      </x:c>
      <x:c r="G14" s="19" t="n">
        <x:v>0</x:v>
      </x:c>
      <x:c r="H14" s="19" t="n">
        <x:v>0</x:v>
      </x:c>
      <x:c r="I14" s="19" t="n">
        <x:f>SUM(C14:H14)</x:f>
        <x:v>60</x:v>
      </x:c>
      <x:c r="J14" s="19" t="n">
        <x:f>ROUND(($B$59+$E$59*(A14-1-INT((A14-1)/$H$59)))*IF(MOD(A14,$H$59)=0,$K$59,1),0)</x:f>
        <x:v>350</x:v>
      </x:c>
      <x:c r="K14" s="19" t="n">
        <x:f>C14*VLOOKUP("Basic",'Monster'!$A$8:$K$13,6,FALSE)+D14*VLOOKUP("VoidHound",'Monster'!$A$8:$K$13,6,FALSE)+E14*VLOOKUP("VoidSentinel",'Monster'!$A$8:$K$13,6,FALSE)+F14*VLOOKUP("VoidGuard",'Monster'!$A$8:$K$13,6,FALSE)+G14*VLOOKUP("VoidBrute",'Monster'!$A$8:$K$13,6,FALSE)+H14*VLOOKUP("VoidGolem",'Monster'!$A$8:$K$13,6,FALSE)</x:f>
        <x:v>350</x:v>
      </x:c>
      <x:c r="L14" s="19" t="n">
        <x:f>J14-K14</x:f>
        <x:v>0</x:v>
      </x:c>
      <x:c r="M14" s="42" t="n">
        <x:f>MAX($B$61,$E$60-MAX(0,A14-$H$60)*$K$60)</x:f>
        <x:v>0.87</x:v>
      </x:c>
      <x:c r="N14" s="19" t="n">
        <x:f>C14*VLOOKUP("Basic",'Monster'!$A$8:$K$13,4,FALSE)+D14*VLOOKUP("VoidHound",'Monster'!$A$8:$K$13,4,FALSE)+E14*VLOOKUP("VoidSentinel",'Monster'!$A$8:$K$13,4,FALSE)+F14*VLOOKUP("VoidGuard",'Monster'!$A$8:$K$13,4,FALSE)+G14*VLOOKUP("VoidBrute",'Monster'!$A$8:$K$13,4,FALSE)+H14*VLOOKUP("VoidGolem",'Monster'!$A$8:$K$13,4,FALSE)</x:f>
        <x:v>5150</x:v>
      </x:c>
    </x:row>
    <x:row r="15" ht="23" customHeight="1">
      <x:c r="A15" s="18" t="n">
        <x:v>8</x:v>
      </x:c>
      <x:c r="B15" s="14" t="str">
        <x:v>Normal</x:v>
      </x:c>
      <x:c r="C15" s="20" t="n">
        <x:v>80</x:v>
      </x:c>
      <x:c r="D15" s="20" t="n">
        <x:v>0</x:v>
      </x:c>
      <x:c r="E15" s="20" t="n">
        <x:v>0</x:v>
      </x:c>
      <x:c r="F15" s="20" t="n">
        <x:v>0</x:v>
      </x:c>
      <x:c r="G15" s="20" t="n">
        <x:v>0</x:v>
      </x:c>
      <x:c r="H15" s="20" t="n">
        <x:v>0</x:v>
      </x:c>
      <x:c r="I15" s="20" t="n">
        <x:f>SUM(C15:H15)</x:f>
        <x:v>80</x:v>
      </x:c>
      <x:c r="J15" s="20" t="n">
        <x:f>ROUND(($B$59+$E$59*(A15-1-INT((A15-1)/$H$59)))*IF(MOD(A15,$H$59)=0,$K$59,1),0)</x:f>
        <x:v>400</x:v>
      </x:c>
      <x:c r="K15" s="20" t="n">
        <x:f>C15*VLOOKUP("Basic",'Monster'!$A$8:$K$13,6,FALSE)+D15*VLOOKUP("VoidHound",'Monster'!$A$8:$K$13,6,FALSE)+E15*VLOOKUP("VoidSentinel",'Monster'!$A$8:$K$13,6,FALSE)+F15*VLOOKUP("VoidGuard",'Monster'!$A$8:$K$13,6,FALSE)+G15*VLOOKUP("VoidBrute",'Monster'!$A$8:$K$13,6,FALSE)+H15*VLOOKUP("VoidGolem",'Monster'!$A$8:$K$13,6,FALSE)</x:f>
        <x:v>400</x:v>
      </x:c>
      <x:c r="L15" s="20" t="n">
        <x:f>J15-K15</x:f>
        <x:v>0</x:v>
      </x:c>
      <x:c r="M15" s="43" t="n">
        <x:f>MAX($B$61,$E$60-MAX(0,A15-$H$60)*$K$60)</x:f>
        <x:v>0.855</x:v>
      </x:c>
      <x:c r="N15" s="20" t="n">
        <x:f>C15*VLOOKUP("Basic",'Monster'!$A$8:$K$13,4,FALSE)+D15*VLOOKUP("VoidHound",'Monster'!$A$8:$K$13,4,FALSE)+E15*VLOOKUP("VoidSentinel",'Monster'!$A$8:$K$13,4,FALSE)+F15*VLOOKUP("VoidGuard",'Monster'!$A$8:$K$13,4,FALSE)+G15*VLOOKUP("VoidBrute",'Monster'!$A$8:$K$13,4,FALSE)+H15*VLOOKUP("VoidGolem",'Monster'!$A$8:$K$13,4,FALSE)</x:f>
        <x:v>8000</x:v>
      </x:c>
    </x:row>
    <x:row r="16" ht="23" customHeight="1">
      <x:c r="A16" s="17" t="n">
        <x:v>9</x:v>
      </x:c>
      <x:c r="B16" s="3" t="str">
        <x:v>Normal</x:v>
      </x:c>
      <x:c r="C16" s="19" t="n">
        <x:v>0</x:v>
      </x:c>
      <x:c r="D16" s="19" t="n">
        <x:v>0</x:v>
      </x:c>
      <x:c r="E16" s="19" t="n">
        <x:v>39</x:v>
      </x:c>
      <x:c r="F16" s="19" t="n">
        <x:v>27</x:v>
      </x:c>
      <x:c r="G16" s="19" t="n">
        <x:v>0</x:v>
      </x:c>
      <x:c r="H16" s="19" t="n">
        <x:v>0</x:v>
      </x:c>
      <x:c r="I16" s="19" t="n">
        <x:f>SUM(C16:H16)</x:f>
        <x:v>66</x:v>
      </x:c>
      <x:c r="J16" s="19" t="n">
        <x:f>ROUND(($B$59+$E$59*(A16-1-INT((A16-1)/$H$59)))*IF(MOD(A16,$H$59)=0,$K$59,1),0)</x:f>
        <x:v>450</x:v>
      </x:c>
      <x:c r="K16" s="19" t="n">
        <x:f>C16*VLOOKUP("Basic",'Monster'!$A$8:$K$13,6,FALSE)+D16*VLOOKUP("VoidHound",'Monster'!$A$8:$K$13,6,FALSE)+E16*VLOOKUP("VoidSentinel",'Monster'!$A$8:$K$13,6,FALSE)+F16*VLOOKUP("VoidGuard",'Monster'!$A$8:$K$13,6,FALSE)+G16*VLOOKUP("VoidBrute",'Monster'!$A$8:$K$13,6,FALSE)+H16*VLOOKUP("VoidGolem",'Monster'!$A$8:$K$13,6,FALSE)</x:f>
        <x:v>450</x:v>
      </x:c>
      <x:c r="L16" s="19" t="n">
        <x:f>J16-K16</x:f>
        <x:v>0</x:v>
      </x:c>
      <x:c r="M16" s="42" t="n">
        <x:f>MAX($B$61,$E$60-MAX(0,A16-$H$60)*$K$60)</x:f>
        <x:v>0.8400000000000001</x:v>
      </x:c>
      <x:c r="N16" s="19" t="n">
        <x:f>C16*VLOOKUP("Basic",'Monster'!$A$8:$K$13,4,FALSE)+D16*VLOOKUP("VoidHound",'Monster'!$A$8:$K$13,4,FALSE)+E16*VLOOKUP("VoidSentinel",'Monster'!$A$8:$K$13,4,FALSE)+F16*VLOOKUP("VoidGuard",'Monster'!$A$8:$K$13,4,FALSE)+G16*VLOOKUP("VoidBrute",'Monster'!$A$8:$K$13,4,FALSE)+H16*VLOOKUP("VoidGolem",'Monster'!$A$8:$K$13,4,FALSE)</x:f>
        <x:v>8730</x:v>
      </x:c>
    </x:row>
    <x:row r="17" ht="23" customHeight="1">
      <x:c r="A17" s="18" t="n">
        <x:v>10</x:v>
      </x:c>
      <x:c r="B17" s="14" t="str">
        <x:v>Milestone</x:v>
      </x:c>
      <x:c r="C17" s="20" t="n">
        <x:v>0</x:v>
      </x:c>
      <x:c r="D17" s="20" t="n">
        <x:v>0</x:v>
      </x:c>
      <x:c r="E17" s="20" t="n">
        <x:v>0</x:v>
      </x:c>
      <x:c r="F17" s="20" t="n">
        <x:v>75</x:v>
      </x:c>
      <x:c r="G17" s="20" t="n">
        <x:v>0</x:v>
      </x:c>
      <x:c r="H17" s="20" t="n">
        <x:v>0</x:v>
      </x:c>
      <x:c r="I17" s="20" t="n">
        <x:f>SUM(C17:H17)</x:f>
        <x:v>75</x:v>
      </x:c>
      <x:c r="J17" s="20" t="n">
        <x:f>ROUND(($B$59+$E$59*(A17-1-INT((A17-1)/$H$59)))*IF(MOD(A17,$H$59)=0,$K$59,1),0)</x:f>
        <x:v>600</x:v>
      </x:c>
      <x:c r="K17" s="20" t="n">
        <x:f>C17*VLOOKUP("Basic",'Monster'!$A$8:$K$13,6,FALSE)+D17*VLOOKUP("VoidHound",'Monster'!$A$8:$K$13,6,FALSE)+E17*VLOOKUP("VoidSentinel",'Monster'!$A$8:$K$13,6,FALSE)+F17*VLOOKUP("VoidGuard",'Monster'!$A$8:$K$13,6,FALSE)+G17*VLOOKUP("VoidBrute",'Monster'!$A$8:$K$13,6,FALSE)+H17*VLOOKUP("VoidGolem",'Monster'!$A$8:$K$13,6,FALSE)</x:f>
        <x:v>600</x:v>
      </x:c>
      <x:c r="L17" s="20" t="n">
        <x:f>J17-K17</x:f>
        <x:v>0</x:v>
      </x:c>
      <x:c r="M17" s="43" t="n">
        <x:f>MAX($B$61,$E$60-MAX(0,A17-$H$60)*$K$60)</x:f>
        <x:v>0.8250000000000001</x:v>
      </x:c>
      <x:c r="N17" s="20" t="n">
        <x:f>C17*VLOOKUP("Basic",'Monster'!$A$8:$K$13,4,FALSE)+D17*VLOOKUP("VoidHound",'Monster'!$A$8:$K$13,4,FALSE)+E17*VLOOKUP("VoidSentinel",'Monster'!$A$8:$K$13,4,FALSE)+F17*VLOOKUP("VoidGuard",'Monster'!$A$8:$K$13,4,FALSE)+G17*VLOOKUP("VoidBrute",'Monster'!$A$8:$K$13,4,FALSE)+H17*VLOOKUP("VoidGolem",'Monster'!$A$8:$K$13,4,FALSE)</x:f>
        <x:v>11250</x:v>
      </x:c>
    </x:row>
    <x:row r="18" ht="23" customHeight="1">
      <x:c r="A18" s="17" t="n">
        <x:v>11</x:v>
      </x:c>
      <x:c r="B18" s="3" t="str">
        <x:v>Normal</x:v>
      </x:c>
      <x:c r="C18" s="19" t="n">
        <x:v>54</x:v>
      </x:c>
      <x:c r="D18" s="19" t="n">
        <x:v>32</x:v>
      </x:c>
      <x:c r="E18" s="19" t="n">
        <x:v>1</x:v>
      </x:c>
      <x:c r="F18" s="19" t="n">
        <x:v>0</x:v>
      </x:c>
      <x:c r="G18" s="19" t="n">
        <x:v>0</x:v>
      </x:c>
      <x:c r="H18" s="19" t="n">
        <x:v>0</x:v>
      </x:c>
      <x:c r="I18" s="19" t="n">
        <x:f>SUM(C18:H18)</x:f>
        <x:v>87</x:v>
      </x:c>
      <x:c r="J18" s="19" t="n">
        <x:f>ROUND(($B$59+$E$59*(A18-1-INT((A18-1)/$H$59)))*IF(MOD(A18,$H$59)=0,$K$59,1),0)</x:f>
        <x:v>500</x:v>
      </x:c>
      <x:c r="K18" s="19" t="n">
        <x:f>C18*VLOOKUP("Basic",'Monster'!$A$8:$K$13,6,FALSE)+D18*VLOOKUP("VoidHound",'Monster'!$A$8:$K$13,6,FALSE)+E18*VLOOKUP("VoidSentinel",'Monster'!$A$8:$K$13,6,FALSE)+F18*VLOOKUP("VoidGuard",'Monster'!$A$8:$K$13,6,FALSE)+G18*VLOOKUP("VoidBrute",'Monster'!$A$8:$K$13,6,FALSE)+H18*VLOOKUP("VoidGolem",'Monster'!$A$8:$K$13,6,FALSE)</x:f>
        <x:v>500</x:v>
      </x:c>
      <x:c r="L18" s="19" t="n">
        <x:f>J18-K18</x:f>
        <x:v>0</x:v>
      </x:c>
      <x:c r="M18" s="42" t="n">
        <x:f>MAX($B$61,$E$60-MAX(0,A18-$H$60)*$K$60)</x:f>
        <x:v>0.81</x:v>
      </x:c>
      <x:c r="N18" s="19" t="n">
        <x:f>C18*VLOOKUP("Basic",'Monster'!$A$8:$K$13,4,FALSE)+D18*VLOOKUP("VoidHound",'Monster'!$A$8:$K$13,4,FALSE)+E18*VLOOKUP("VoidSentinel",'Monster'!$A$8:$K$13,4,FALSE)+F18*VLOOKUP("VoidGuard",'Monster'!$A$8:$K$13,4,FALSE)+G18*VLOOKUP("VoidBrute",'Monster'!$A$8:$K$13,4,FALSE)+H18*VLOOKUP("VoidGolem",'Monster'!$A$8:$K$13,4,FALSE)</x:f>
        <x:v>7440</x:v>
      </x:c>
    </x:row>
    <x:row r="19" ht="23" customHeight="1">
      <x:c r="A19" s="18" t="n">
        <x:v>12</x:v>
      </x:c>
      <x:c r="B19" s="14" t="str">
        <x:v>Normal</x:v>
      </x:c>
      <x:c r="C19" s="20" t="n">
        <x:v>47</x:v>
      </x:c>
      <x:c r="D19" s="20" t="n">
        <x:v>25</x:v>
      </x:c>
      <x:c r="E19" s="20" t="n">
        <x:v>0</x:v>
      </x:c>
      <x:c r="F19" s="20" t="n">
        <x:v>0</x:v>
      </x:c>
      <x:c r="G19" s="20" t="n">
        <x:v>14</x:v>
      </x:c>
      <x:c r="H19" s="20" t="n">
        <x:v>0</x:v>
      </x:c>
      <x:c r="I19" s="20" t="n">
        <x:f>SUM(C19:H19)</x:f>
        <x:v>86</x:v>
      </x:c>
      <x:c r="J19" s="20" t="n">
        <x:f>ROUND(($B$59+$E$59*(A19-1-INT((A19-1)/$H$59)))*IF(MOD(A19,$H$59)=0,$K$59,1),0)</x:f>
        <x:v>550</x:v>
      </x:c>
      <x:c r="K19" s="20" t="n">
        <x:f>C19*VLOOKUP("Basic",'Monster'!$A$8:$K$13,6,FALSE)+D19*VLOOKUP("VoidHound",'Monster'!$A$8:$K$13,6,FALSE)+E19*VLOOKUP("VoidSentinel",'Monster'!$A$8:$K$13,6,FALSE)+F19*VLOOKUP("VoidGuard",'Monster'!$A$8:$K$13,6,FALSE)+G19*VLOOKUP("VoidBrute",'Monster'!$A$8:$K$13,6,FALSE)+H19*VLOOKUP("VoidGolem",'Monster'!$A$8:$K$13,6,FALSE)</x:f>
        <x:v>550</x:v>
      </x:c>
      <x:c r="L19" s="20" t="n">
        <x:f>J19-K19</x:f>
        <x:v>0</x:v>
      </x:c>
      <x:c r="M19" s="43" t="n">
        <x:f>MAX($B$61,$E$60-MAX(0,A19-$H$60)*$K$60)</x:f>
        <x:v>0.795</x:v>
      </x:c>
      <x:c r="N19" s="20" t="n">
        <x:f>C19*VLOOKUP("Basic",'Monster'!$A$8:$K$13,4,FALSE)+D19*VLOOKUP("VoidHound",'Monster'!$A$8:$K$13,4,FALSE)+E19*VLOOKUP("VoidSentinel",'Monster'!$A$8:$K$13,4,FALSE)+F19*VLOOKUP("VoidGuard",'Monster'!$A$8:$K$13,4,FALSE)+G19*VLOOKUP("VoidBrute",'Monster'!$A$8:$K$13,4,FALSE)+H19*VLOOKUP("VoidGolem",'Monster'!$A$8:$K$13,4,FALSE)</x:f>
        <x:v>9280</x:v>
      </x:c>
    </x:row>
    <x:row r="20" ht="23" customHeight="1">
      <x:c r="A20" s="17" t="n">
        <x:v>13</x:v>
      </x:c>
      <x:c r="B20" s="3" t="str">
        <x:v>Normal</x:v>
      </x:c>
      <x:c r="C20" s="19" t="n">
        <x:v>0</x:v>
      </x:c>
      <x:c r="D20" s="19" t="n">
        <x:v>46</x:v>
      </x:c>
      <x:c r="E20" s="19" t="n">
        <x:v>43</x:v>
      </x:c>
      <x:c r="F20" s="19" t="n">
        <x:v>0</x:v>
      </x:c>
      <x:c r="G20" s="19" t="n">
        <x:v>0</x:v>
      </x:c>
      <x:c r="H20" s="19" t="n">
        <x:v>1</x:v>
      </x:c>
      <x:c r="I20" s="19" t="n">
        <x:f>SUM(C20:H20)</x:f>
        <x:v>90</x:v>
      </x:c>
      <x:c r="J20" s="19" t="n">
        <x:f>ROUND(($B$59+$E$59*(A20-1-INT((A20-1)/$H$59)))*IF(MOD(A20,$H$59)=0,$K$59,1),0)</x:f>
        <x:v>600</x:v>
      </x:c>
      <x:c r="K20" s="19" t="n">
        <x:f>C20*VLOOKUP("Basic",'Monster'!$A$8:$K$13,6,FALSE)+D20*VLOOKUP("VoidHound",'Monster'!$A$8:$K$13,6,FALSE)+E20*VLOOKUP("VoidSentinel",'Monster'!$A$8:$K$13,6,FALSE)+F20*VLOOKUP("VoidGuard",'Monster'!$A$8:$K$13,6,FALSE)+G20*VLOOKUP("VoidBrute",'Monster'!$A$8:$K$13,6,FALSE)+H20*VLOOKUP("VoidGolem",'Monster'!$A$8:$K$13,6,FALSE)</x:f>
        <x:v>600</x:v>
      </x:c>
      <x:c r="L20" s="19" t="n">
        <x:f>J20-K20</x:f>
        <x:v>0</x:v>
      </x:c>
      <x:c r="M20" s="42" t="n">
        <x:f>MAX($B$61,$E$60-MAX(0,A20-$H$60)*$K$60)</x:f>
        <x:v>0.78</x:v>
      </x:c>
      <x:c r="N20" s="19" t="n">
        <x:f>C20*VLOOKUP("Basic",'Monster'!$A$8:$K$13,4,FALSE)+D20*VLOOKUP("VoidHound",'Monster'!$A$8:$K$13,4,FALSE)+E20*VLOOKUP("VoidSentinel",'Monster'!$A$8:$K$13,4,FALSE)+F20*VLOOKUP("VoidGuard",'Monster'!$A$8:$K$13,4,FALSE)+G20*VLOOKUP("VoidBrute",'Monster'!$A$8:$K$13,4,FALSE)+H20*VLOOKUP("VoidGolem",'Monster'!$A$8:$K$13,4,FALSE)</x:f>
        <x:v>8400</x:v>
      </x:c>
    </x:row>
    <x:row r="21" ht="23" customHeight="1">
      <x:c r="A21" s="18" t="n">
        <x:v>14</x:v>
      </x:c>
      <x:c r="B21" s="14" t="str">
        <x:v>Normal</x:v>
      </x:c>
      <x:c r="C21" s="20" t="n">
        <x:v>0</x:v>
      </x:c>
      <x:c r="D21" s="20" t="n">
        <x:v>0</x:v>
      </x:c>
      <x:c r="E21" s="20" t="n">
        <x:v>107</x:v>
      </x:c>
      <x:c r="F21" s="20" t="n">
        <x:v>1</x:v>
      </x:c>
      <x:c r="G21" s="20" t="n">
        <x:v>0</x:v>
      </x:c>
      <x:c r="H21" s="20" t="n">
        <x:v>0</x:v>
      </x:c>
      <x:c r="I21" s="20" t="n">
        <x:f>SUM(C21:H21)</x:f>
        <x:v>108</x:v>
      </x:c>
      <x:c r="J21" s="20" t="n">
        <x:f>ROUND(($B$59+$E$59*(A21-1-INT((A21-1)/$H$59)))*IF(MOD(A21,$H$59)=0,$K$59,1),0)</x:f>
        <x:v>650</x:v>
      </x:c>
      <x:c r="K21" s="20" t="n">
        <x:f>C21*VLOOKUP("Basic",'Monster'!$A$8:$K$13,6,FALSE)+D21*VLOOKUP("VoidHound",'Monster'!$A$8:$K$13,6,FALSE)+E21*VLOOKUP("VoidSentinel",'Monster'!$A$8:$K$13,6,FALSE)+F21*VLOOKUP("VoidGuard",'Monster'!$A$8:$K$13,6,FALSE)+G21*VLOOKUP("VoidBrute",'Monster'!$A$8:$K$13,6,FALSE)+H21*VLOOKUP("VoidGolem",'Monster'!$A$8:$K$13,6,FALSE)</x:f>
        <x:v>650</x:v>
      </x:c>
      <x:c r="L21" s="20" t="n">
        <x:f>J21-K21</x:f>
        <x:v>0</x:v>
      </x:c>
      <x:c r="M21" s="43" t="n">
        <x:f>MAX($B$61,$E$60-MAX(0,A21-$H$60)*$K$60)</x:f>
        <x:v>0.765</x:v>
      </x:c>
      <x:c r="N21" s="20" t="n">
        <x:f>C21*VLOOKUP("Basic",'Monster'!$A$8:$K$13,4,FALSE)+D21*VLOOKUP("VoidHound",'Monster'!$A$8:$K$13,4,FALSE)+E21*VLOOKUP("VoidSentinel",'Monster'!$A$8:$K$13,4,FALSE)+F21*VLOOKUP("VoidGuard",'Monster'!$A$8:$K$13,4,FALSE)+G21*VLOOKUP("VoidBrute",'Monster'!$A$8:$K$13,4,FALSE)+H21*VLOOKUP("VoidGolem",'Monster'!$A$8:$K$13,4,FALSE)</x:f>
        <x:v>12990</x:v>
      </x:c>
    </x:row>
    <x:row r="22" ht="23" customHeight="1">
      <x:c r="A22" s="17" t="n">
        <x:v>15</x:v>
      </x:c>
      <x:c r="B22" s="3" t="str">
        <x:v>Milestone</x:v>
      </x:c>
      <x:c r="C22" s="19" t="n">
        <x:v>0</x:v>
      </x:c>
      <x:c r="D22" s="19" t="n">
        <x:v>0</x:v>
      </x:c>
      <x:c r="E22" s="19" t="n">
        <x:v>0</x:v>
      </x:c>
      <x:c r="F22" s="19" t="n">
        <x:v>105</x:v>
      </x:c>
      <x:c r="G22" s="19" t="n">
        <x:v>0</x:v>
      </x:c>
      <x:c r="H22" s="19" t="n">
        <x:v>0</x:v>
      </x:c>
      <x:c r="I22" s="19" t="n">
        <x:f>SUM(C22:H22)</x:f>
        <x:v>105</x:v>
      </x:c>
      <x:c r="J22" s="19" t="n">
        <x:f>ROUND(($B$59+$E$59*(A22-1-INT((A22-1)/$H$59)))*IF(MOD(A22,$H$59)=0,$K$59,1),0)</x:f>
        <x:v>840</x:v>
      </x:c>
      <x:c r="K22" s="19" t="n">
        <x:f>C22*VLOOKUP("Basic",'Monster'!$A$8:$K$13,6,FALSE)+D22*VLOOKUP("VoidHound",'Monster'!$A$8:$K$13,6,FALSE)+E22*VLOOKUP("VoidSentinel",'Monster'!$A$8:$K$13,6,FALSE)+F22*VLOOKUP("VoidGuard",'Monster'!$A$8:$K$13,6,FALSE)+G22*VLOOKUP("VoidBrute",'Monster'!$A$8:$K$13,6,FALSE)+H22*VLOOKUP("VoidGolem",'Monster'!$A$8:$K$13,6,FALSE)</x:f>
        <x:v>840</x:v>
      </x:c>
      <x:c r="L22" s="19" t="n">
        <x:f>J22-K22</x:f>
        <x:v>0</x:v>
      </x:c>
      <x:c r="M22" s="42" t="n">
        <x:f>MAX($B$61,$E$60-MAX(0,A22-$H$60)*$K$60)</x:f>
        <x:v>0.75</x:v>
      </x:c>
      <x:c r="N22" s="19" t="n">
        <x:f>C22*VLOOKUP("Basic",'Monster'!$A$8:$K$13,4,FALSE)+D22*VLOOKUP("VoidHound",'Monster'!$A$8:$K$13,4,FALSE)+E22*VLOOKUP("VoidSentinel",'Monster'!$A$8:$K$13,4,FALSE)+F22*VLOOKUP("VoidGuard",'Monster'!$A$8:$K$13,4,FALSE)+G22*VLOOKUP("VoidBrute",'Monster'!$A$8:$K$13,4,FALSE)+H22*VLOOKUP("VoidGolem",'Monster'!$A$8:$K$13,4,FALSE)</x:f>
        <x:v>15750</x:v>
      </x:c>
    </x:row>
    <x:row r="23" ht="23" customHeight="1">
      <x:c r="A23" s="18" t="n">
        <x:v>16</x:v>
      </x:c>
      <x:c r="B23" s="14" t="str">
        <x:v>Normal</x:v>
      </x:c>
      <x:c r="C23" s="20" t="n">
        <x:v>1</x:v>
      </x:c>
      <x:c r="D23" s="20" t="n">
        <x:v>1</x:v>
      </x:c>
      <x:c r="E23" s="20" t="n">
        <x:v>0</x:v>
      </x:c>
      <x:c r="F23" s="20" t="n">
        <x:v>86</x:v>
      </x:c>
      <x:c r="G23" s="20" t="n">
        <x:v>0</x:v>
      </x:c>
      <x:c r="H23" s="20" t="n">
        <x:v>0</x:v>
      </x:c>
      <x:c r="I23" s="20" t="n">
        <x:f>SUM(C23:H23)</x:f>
        <x:v>88</x:v>
      </x:c>
      <x:c r="J23" s="20" t="n">
        <x:f>ROUND(($B$59+$E$59*(A23-1-INT((A23-1)/$H$59)))*IF(MOD(A23,$H$59)=0,$K$59,1),0)</x:f>
        <x:v>700</x:v>
      </x:c>
      <x:c r="K23" s="20" t="n">
        <x:f>C23*VLOOKUP("Basic",'Monster'!$A$8:$K$13,6,FALSE)+D23*VLOOKUP("VoidHound",'Monster'!$A$8:$K$13,6,FALSE)+E23*VLOOKUP("VoidSentinel",'Monster'!$A$8:$K$13,6,FALSE)+F23*VLOOKUP("VoidGuard",'Monster'!$A$8:$K$13,6,FALSE)+G23*VLOOKUP("VoidBrute",'Monster'!$A$8:$K$13,6,FALSE)+H23*VLOOKUP("VoidGolem",'Monster'!$A$8:$K$13,6,FALSE)</x:f>
        <x:v>700</x:v>
      </x:c>
      <x:c r="L23" s="20" t="n">
        <x:f>J23-K23</x:f>
        <x:v>0</x:v>
      </x:c>
      <x:c r="M23" s="43" t="n">
        <x:f>MAX($B$61,$E$60-MAX(0,A23-$H$60)*$K$60)</x:f>
        <x:v>0.7350000000000001</x:v>
      </x:c>
      <x:c r="N23" s="20" t="n">
        <x:f>C23*VLOOKUP("Basic",'Monster'!$A$8:$K$13,4,FALSE)+D23*VLOOKUP("VoidHound",'Monster'!$A$8:$K$13,4,FALSE)+E23*VLOOKUP("VoidSentinel",'Monster'!$A$8:$K$13,4,FALSE)+F23*VLOOKUP("VoidGuard",'Monster'!$A$8:$K$13,4,FALSE)+G23*VLOOKUP("VoidBrute",'Monster'!$A$8:$K$13,4,FALSE)+H23*VLOOKUP("VoidGolem",'Monster'!$A$8:$K$13,4,FALSE)</x:f>
        <x:v>13060</x:v>
      </x:c>
    </x:row>
    <x:row r="24" ht="23" customHeight="1">
      <x:c r="A24" s="17" t="n">
        <x:v>17</x:v>
      </x:c>
      <x:c r="B24" s="3" t="str">
        <x:v>Normal</x:v>
      </x:c>
      <x:c r="C24" s="19" t="n">
        <x:v>63</x:v>
      </x:c>
      <x:c r="D24" s="19" t="n">
        <x:v>39</x:v>
      </x:c>
      <x:c r="E24" s="19" t="n">
        <x:v>27</x:v>
      </x:c>
      <x:c r="F24" s="19" t="n">
        <x:v>0</x:v>
      </x:c>
      <x:c r="G24" s="19" t="n">
        <x:v>0</x:v>
      </x:c>
      <x:c r="H24" s="19" t="n">
        <x:v>0</x:v>
      </x:c>
      <x:c r="I24" s="19" t="n">
        <x:f>SUM(C24:H24)</x:f>
        <x:v>129</x:v>
      </x:c>
      <x:c r="J24" s="19" t="n">
        <x:f>ROUND(($B$59+$E$59*(A24-1-INT((A24-1)/$H$59)))*IF(MOD(A24,$H$59)=0,$K$59,1),0)</x:f>
        <x:v>750</x:v>
      </x:c>
      <x:c r="K24" s="19" t="n">
        <x:f>C24*VLOOKUP("Basic",'Monster'!$A$8:$K$13,6,FALSE)+D24*VLOOKUP("VoidHound",'Monster'!$A$8:$K$13,6,FALSE)+E24*VLOOKUP("VoidSentinel",'Monster'!$A$8:$K$13,6,FALSE)+F24*VLOOKUP("VoidGuard",'Monster'!$A$8:$K$13,6,FALSE)+G24*VLOOKUP("VoidBrute",'Monster'!$A$8:$K$13,6,FALSE)+H24*VLOOKUP("VoidGolem",'Monster'!$A$8:$K$13,6,FALSE)</x:f>
        <x:v>750</x:v>
      </x:c>
      <x:c r="L24" s="19" t="n">
        <x:f>J24-K24</x:f>
        <x:v>0</x:v>
      </x:c>
      <x:c r="M24" s="42" t="n">
        <x:f>MAX($B$61,$E$60-MAX(0,A24-$H$60)*$K$60)</x:f>
        <x:v>0.72</x:v>
      </x:c>
      <x:c r="N24" s="19" t="n">
        <x:f>C24*VLOOKUP("Basic",'Monster'!$A$8:$K$13,4,FALSE)+D24*VLOOKUP("VoidHound",'Monster'!$A$8:$K$13,4,FALSE)+E24*VLOOKUP("VoidSentinel",'Monster'!$A$8:$K$13,4,FALSE)+F24*VLOOKUP("VoidGuard",'Monster'!$A$8:$K$13,4,FALSE)+G24*VLOOKUP("VoidBrute",'Monster'!$A$8:$K$13,4,FALSE)+H24*VLOOKUP("VoidGolem",'Monster'!$A$8:$K$13,4,FALSE)</x:f>
        <x:v>11880</x:v>
      </x:c>
    </x:row>
    <x:row r="25" ht="23" customHeight="1">
      <x:c r="A25" s="18" t="n">
        <x:v>18</x:v>
      </x:c>
      <x:c r="B25" s="14" t="str">
        <x:v>Normal</x:v>
      </x:c>
      <x:c r="C25" s="20" t="n">
        <x:v>104</x:v>
      </x:c>
      <x:c r="D25" s="20" t="n">
        <x:v>0</x:v>
      </x:c>
      <x:c r="E25" s="20" t="n">
        <x:v>0</x:v>
      </x:c>
      <x:c r="F25" s="20" t="n">
        <x:v>35</x:v>
      </x:c>
      <x:c r="G25" s="20" t="n">
        <x:v>0</x:v>
      </x:c>
      <x:c r="H25" s="20" t="n">
        <x:v>0</x:v>
      </x:c>
      <x:c r="I25" s="20" t="n">
        <x:f>SUM(C25:H25)</x:f>
        <x:v>139</x:v>
      </x:c>
      <x:c r="J25" s="20" t="n">
        <x:f>ROUND(($B$59+$E$59*(A25-1-INT((A25-1)/$H$59)))*IF(MOD(A25,$H$59)=0,$K$59,1),0)</x:f>
        <x:v>800</x:v>
      </x:c>
      <x:c r="K25" s="20" t="n">
        <x:f>C25*VLOOKUP("Basic",'Monster'!$A$8:$K$13,6,FALSE)+D25*VLOOKUP("VoidHound",'Monster'!$A$8:$K$13,6,FALSE)+E25*VLOOKUP("VoidSentinel",'Monster'!$A$8:$K$13,6,FALSE)+F25*VLOOKUP("VoidGuard",'Monster'!$A$8:$K$13,6,FALSE)+G25*VLOOKUP("VoidBrute",'Monster'!$A$8:$K$13,6,FALSE)+H25*VLOOKUP("VoidGolem",'Monster'!$A$8:$K$13,6,FALSE)</x:f>
        <x:v>800</x:v>
      </x:c>
      <x:c r="L25" s="20" t="n">
        <x:f>J25-K25</x:f>
        <x:v>0</x:v>
      </x:c>
      <x:c r="M25" s="43" t="n">
        <x:f>MAX($B$61,$E$60-MAX(0,A25-$H$60)*$K$60)</x:f>
        <x:v>0.7050000000000001</x:v>
      </x:c>
      <x:c r="N25" s="20" t="n">
        <x:f>C25*VLOOKUP("Basic",'Monster'!$A$8:$K$13,4,FALSE)+D25*VLOOKUP("VoidHound",'Monster'!$A$8:$K$13,4,FALSE)+E25*VLOOKUP("VoidSentinel",'Monster'!$A$8:$K$13,4,FALSE)+F25*VLOOKUP("VoidGuard",'Monster'!$A$8:$K$13,4,FALSE)+G25*VLOOKUP("VoidBrute",'Monster'!$A$8:$K$13,4,FALSE)+H25*VLOOKUP("VoidGolem",'Monster'!$A$8:$K$13,4,FALSE)</x:f>
        <x:v>15650</x:v>
      </x:c>
    </x:row>
    <x:row r="26" ht="23" customHeight="1">
      <x:c r="A26" s="17" t="n">
        <x:v>19</x:v>
      </x:c>
      <x:c r="B26" s="3" t="str">
        <x:v>Normal</x:v>
      </x:c>
      <x:c r="C26" s="19" t="n">
        <x:v>0</x:v>
      </x:c>
      <x:c r="D26" s="19" t="n">
        <x:v>0</x:v>
      </x:c>
      <x:c r="E26" s="19" t="n">
        <x:v>82</x:v>
      </x:c>
      <x:c r="F26" s="19" t="n">
        <x:v>1</x:v>
      </x:c>
      <x:c r="G26" s="19" t="n">
        <x:v>33</x:v>
      </x:c>
      <x:c r="H26" s="19" t="n">
        <x:v>1</x:v>
      </x:c>
      <x:c r="I26" s="19" t="n">
        <x:f>SUM(C26:H26)</x:f>
        <x:v>117</x:v>
      </x:c>
      <x:c r="J26" s="19" t="n">
        <x:f>ROUND(($B$59+$E$59*(A26-1-INT((A26-1)/$H$59)))*IF(MOD(A26,$H$59)=0,$K$59,1),0)</x:f>
        <x:v>850</x:v>
      </x:c>
      <x:c r="K26" s="19" t="n">
        <x:f>C26*VLOOKUP("Basic",'Monster'!$A$8:$K$13,6,FALSE)+D26*VLOOKUP("VoidHound",'Monster'!$A$8:$K$13,6,FALSE)+E26*VLOOKUP("VoidSentinel",'Monster'!$A$8:$K$13,6,FALSE)+F26*VLOOKUP("VoidGuard",'Monster'!$A$8:$K$13,6,FALSE)+G26*VLOOKUP("VoidBrute",'Monster'!$A$8:$K$13,6,FALSE)+H26*VLOOKUP("VoidGolem",'Monster'!$A$8:$K$13,6,FALSE)</x:f>
        <x:v>850</x:v>
      </x:c>
      <x:c r="L26" s="19" t="n">
        <x:f>J26-K26</x:f>
        <x:v>0</x:v>
      </x:c>
      <x:c r="M26" s="42" t="n">
        <x:f>MAX($B$61,$E$60-MAX(0,A26-$H$60)*$K$60)</x:f>
        <x:v>0.6900000000000001</x:v>
      </x:c>
      <x:c r="N26" s="19" t="n">
        <x:f>C26*VLOOKUP("Basic",'Monster'!$A$8:$K$13,4,FALSE)+D26*VLOOKUP("VoidHound",'Monster'!$A$8:$K$13,4,FALSE)+E26*VLOOKUP("VoidSentinel",'Monster'!$A$8:$K$13,4,FALSE)+F26*VLOOKUP("VoidGuard",'Monster'!$A$8:$K$13,4,FALSE)+G26*VLOOKUP("VoidBrute",'Monster'!$A$8:$K$13,4,FALSE)+H26*VLOOKUP("VoidGolem",'Monster'!$A$8:$K$13,4,FALSE)</x:f>
        <x:v>17730</x:v>
      </x:c>
    </x:row>
    <x:row r="27" ht="23" customHeight="1">
      <x:c r="A27" s="18" t="n">
        <x:v>20</x:v>
      </x:c>
      <x:c r="B27" s="14" t="str">
        <x:v>Milestone</x:v>
      </x:c>
      <x:c r="C27" s="20" t="n">
        <x:v>109</x:v>
      </x:c>
      <x:c r="D27" s="20" t="n">
        <x:v>1</x:v>
      </x:c>
      <x:c r="E27" s="20" t="n">
        <x:v>0</x:v>
      </x:c>
      <x:c r="F27" s="20" t="n">
        <x:v>66</x:v>
      </x:c>
      <x:c r="G27" s="20" t="n">
        <x:v>0</x:v>
      </x:c>
      <x:c r="H27" s="20" t="n">
        <x:v>0</x:v>
      </x:c>
      <x:c r="I27" s="20" t="n">
        <x:f>SUM(C27:H27)</x:f>
        <x:v>176</x:v>
      </x:c>
      <x:c r="J27" s="20" t="n">
        <x:f>ROUND(($B$59+$E$59*(A27-1-INT((A27-1)/$H$59)))*IF(MOD(A27,$H$59)=0,$K$59,1),0)</x:f>
        <x:v>1080</x:v>
      </x:c>
      <x:c r="K27" s="20" t="n">
        <x:f>C27*VLOOKUP("Basic",'Monster'!$A$8:$K$13,6,FALSE)+D27*VLOOKUP("VoidHound",'Monster'!$A$8:$K$13,6,FALSE)+E27*VLOOKUP("VoidSentinel",'Monster'!$A$8:$K$13,6,FALSE)+F27*VLOOKUP("VoidGuard",'Monster'!$A$8:$K$13,6,FALSE)+G27*VLOOKUP("VoidBrute",'Monster'!$A$8:$K$13,6,FALSE)+H27*VLOOKUP("VoidGolem",'Monster'!$A$8:$K$13,6,FALSE)</x:f>
        <x:v>1080</x:v>
      </x:c>
      <x:c r="L27" s="20" t="n">
        <x:f>J27-K27</x:f>
        <x:v>0</x:v>
      </x:c>
      <x:c r="M27" s="43" t="n">
        <x:f>MAX($B$61,$E$60-MAX(0,A27-$H$60)*$K$60)</x:f>
        <x:v>0.675</x:v>
      </x:c>
      <x:c r="N27" s="20" t="n">
        <x:f>C27*VLOOKUP("Basic",'Monster'!$A$8:$K$13,4,FALSE)+D27*VLOOKUP("VoidHound",'Monster'!$A$8:$K$13,4,FALSE)+E27*VLOOKUP("VoidSentinel",'Monster'!$A$8:$K$13,4,FALSE)+F27*VLOOKUP("VoidGuard",'Monster'!$A$8:$K$13,4,FALSE)+G27*VLOOKUP("VoidBrute",'Monster'!$A$8:$K$13,4,FALSE)+H27*VLOOKUP("VoidGolem",'Monster'!$A$8:$K$13,4,FALSE)</x:f>
        <x:v>20860</x:v>
      </x:c>
    </x:row>
    <x:row r="28" ht="23" customHeight="1">
      <x:c r="A28" s="17" t="n">
        <x:v>21</x:v>
      </x:c>
      <x:c r="B28" s="3" t="str">
        <x:v>Normal</x:v>
      </x:c>
      <x:c r="C28" s="19" t="n">
        <x:v>1</x:v>
      </x:c>
      <x:c r="D28" s="19" t="n">
        <x:v>1</x:v>
      </x:c>
      <x:c r="E28" s="19" t="n">
        <x:v>0</x:v>
      </x:c>
      <x:c r="F28" s="19" t="n">
        <x:v>111</x:v>
      </x:c>
      <x:c r="G28" s="19" t="n">
        <x:v>0</x:v>
      </x:c>
      <x:c r="H28" s="19" t="n">
        <x:v>0</x:v>
      </x:c>
      <x:c r="I28" s="19" t="n">
        <x:f>SUM(C28:H28)</x:f>
        <x:v>113</x:v>
      </x:c>
      <x:c r="J28" s="19" t="n">
        <x:f>ROUND(($B$59+$E$59*(A28-1-INT((A28-1)/$H$59)))*IF(MOD(A28,$H$59)=0,$K$59,1),0)</x:f>
        <x:v>900</x:v>
      </x:c>
      <x:c r="K28" s="19" t="n">
        <x:f>C28*VLOOKUP("Basic",'Monster'!$A$8:$K$13,6,FALSE)+D28*VLOOKUP("VoidHound",'Monster'!$A$8:$K$13,6,FALSE)+E28*VLOOKUP("VoidSentinel",'Monster'!$A$8:$K$13,6,FALSE)+F28*VLOOKUP("VoidGuard",'Monster'!$A$8:$K$13,6,FALSE)+G28*VLOOKUP("VoidBrute",'Monster'!$A$8:$K$13,6,FALSE)+H28*VLOOKUP("VoidGolem",'Monster'!$A$8:$K$13,6,FALSE)</x:f>
        <x:v>900</x:v>
      </x:c>
      <x:c r="L28" s="19" t="n">
        <x:f>J28-K28</x:f>
        <x:v>0</x:v>
      </x:c>
      <x:c r="M28" s="42" t="n">
        <x:f>MAX($B$61,$E$60-MAX(0,A28-$H$60)*$K$60)</x:f>
        <x:v>0.66</x:v>
      </x:c>
      <x:c r="N28" s="19" t="n">
        <x:f>C28*VLOOKUP("Basic",'Monster'!$A$8:$K$13,4,FALSE)+D28*VLOOKUP("VoidHound",'Monster'!$A$8:$K$13,4,FALSE)+E28*VLOOKUP("VoidSentinel",'Monster'!$A$8:$K$13,4,FALSE)+F28*VLOOKUP("VoidGuard",'Monster'!$A$8:$K$13,4,FALSE)+G28*VLOOKUP("VoidBrute",'Monster'!$A$8:$K$13,4,FALSE)+H28*VLOOKUP("VoidGolem",'Monster'!$A$8:$K$13,4,FALSE)</x:f>
        <x:v>16810</x:v>
      </x:c>
    </x:row>
    <x:row r="29" ht="23" customHeight="1">
      <x:c r="A29" s="18" t="n">
        <x:v>22</x:v>
      </x:c>
      <x:c r="B29" s="14" t="str">
        <x:v>Normal</x:v>
      </x:c>
      <x:c r="C29" s="20" t="n">
        <x:v>62</x:v>
      </x:c>
      <x:c r="D29" s="20" t="n">
        <x:v>36</x:v>
      </x:c>
      <x:c r="E29" s="20" t="n">
        <x:v>0</x:v>
      </x:c>
      <x:c r="F29" s="20" t="n">
        <x:v>46</x:v>
      </x:c>
      <x:c r="G29" s="20" t="n">
        <x:v>0</x:v>
      </x:c>
      <x:c r="H29" s="20" t="n">
        <x:v>1</x:v>
      </x:c>
      <x:c r="I29" s="20" t="n">
        <x:f>SUM(C29:H29)</x:f>
        <x:v>145</x:v>
      </x:c>
      <x:c r="J29" s="20" t="n">
        <x:f>ROUND(($B$59+$E$59*(A29-1-INT((A29-1)/$H$59)))*IF(MOD(A29,$H$59)=0,$K$59,1),0)</x:f>
        <x:v>950</x:v>
      </x:c>
      <x:c r="K29" s="20" t="n">
        <x:f>C29*VLOOKUP("Basic",'Monster'!$A$8:$K$13,6,FALSE)+D29*VLOOKUP("VoidHound",'Monster'!$A$8:$K$13,6,FALSE)+E29*VLOOKUP("VoidSentinel",'Monster'!$A$8:$K$13,6,FALSE)+F29*VLOOKUP("VoidGuard",'Monster'!$A$8:$K$13,6,FALSE)+G29*VLOOKUP("VoidBrute",'Monster'!$A$8:$K$13,6,FALSE)+H29*VLOOKUP("VoidGolem",'Monster'!$A$8:$K$13,6,FALSE)</x:f>
        <x:v>950</x:v>
      </x:c>
      <x:c r="L29" s="20" t="n">
        <x:f>J29-K29</x:f>
        <x:v>0</x:v>
      </x:c>
      <x:c r="M29" s="43" t="n">
        <x:f>MAX($B$61,$E$60-MAX(0,A29-$H$60)*$K$60)</x:f>
        <x:v>0.645</x:v>
      </x:c>
      <x:c r="N29" s="20" t="n">
        <x:f>C29*VLOOKUP("Basic",'Monster'!$A$8:$K$13,4,FALSE)+D29*VLOOKUP("VoidHound",'Monster'!$A$8:$K$13,4,FALSE)+E29*VLOOKUP("VoidSentinel",'Monster'!$A$8:$K$13,4,FALSE)+F29*VLOOKUP("VoidGuard",'Monster'!$A$8:$K$13,4,FALSE)+G29*VLOOKUP("VoidBrute",'Monster'!$A$8:$K$13,4,FALSE)+H29*VLOOKUP("VoidGolem",'Monster'!$A$8:$K$13,4,FALSE)</x:f>
        <x:v>15740</x:v>
      </x:c>
    </x:row>
    <x:row r="30" ht="23" customHeight="1">
      <x:c r="A30" s="17" t="n">
        <x:v>23</x:v>
      </x:c>
      <x:c r="B30" s="3" t="str">
        <x:v>Normal</x:v>
      </x:c>
      <x:c r="C30" s="19" t="n">
        <x:v>200</x:v>
      </x:c>
      <x:c r="D30" s="19" t="n">
        <x:v>0</x:v>
      </x:c>
      <x:c r="E30" s="19" t="n">
        <x:v>0</x:v>
      </x:c>
      <x:c r="F30" s="19" t="n">
        <x:v>0</x:v>
      </x:c>
      <x:c r="G30" s="19" t="n">
        <x:v>0</x:v>
      </x:c>
      <x:c r="H30" s="19" t="n">
        <x:v>0</x:v>
      </x:c>
      <x:c r="I30" s="19" t="n">
        <x:f>SUM(C30:H30)</x:f>
        <x:v>200</x:v>
      </x:c>
      <x:c r="J30" s="19" t="n">
        <x:f>ROUND(($B$59+$E$59*(A30-1-INT((A30-1)/$H$59)))*IF(MOD(A30,$H$59)=0,$K$59,1),0)</x:f>
        <x:v>1000</x:v>
      </x:c>
      <x:c r="K30" s="19" t="n">
        <x:f>C30*VLOOKUP("Basic",'Monster'!$A$8:$K$13,6,FALSE)+D30*VLOOKUP("VoidHound",'Monster'!$A$8:$K$13,6,FALSE)+E30*VLOOKUP("VoidSentinel",'Monster'!$A$8:$K$13,6,FALSE)+F30*VLOOKUP("VoidGuard",'Monster'!$A$8:$K$13,6,FALSE)+G30*VLOOKUP("VoidBrute",'Monster'!$A$8:$K$13,6,FALSE)+H30*VLOOKUP("VoidGolem",'Monster'!$A$8:$K$13,6,FALSE)</x:f>
        <x:v>1000</x:v>
      </x:c>
      <x:c r="L30" s="19" t="n">
        <x:f>J30-K30</x:f>
        <x:v>0</x:v>
      </x:c>
      <x:c r="M30" s="42" t="n">
        <x:f>MAX($B$61,$E$60-MAX(0,A30-$H$60)*$K$60)</x:f>
        <x:v>0.63</x:v>
      </x:c>
      <x:c r="N30" s="19" t="n">
        <x:f>C30*VLOOKUP("Basic",'Monster'!$A$8:$K$13,4,FALSE)+D30*VLOOKUP("VoidHound",'Monster'!$A$8:$K$13,4,FALSE)+E30*VLOOKUP("VoidSentinel",'Monster'!$A$8:$K$13,4,FALSE)+F30*VLOOKUP("VoidGuard",'Monster'!$A$8:$K$13,4,FALSE)+G30*VLOOKUP("VoidBrute",'Monster'!$A$8:$K$13,4,FALSE)+H30*VLOOKUP("VoidGolem",'Monster'!$A$8:$K$13,4,FALSE)</x:f>
        <x:v>20000</x:v>
      </x:c>
    </x:row>
    <x:row r="31" ht="23" customHeight="1">
      <x:c r="A31" s="18" t="n">
        <x:v>24</x:v>
      </x:c>
      <x:c r="B31" s="14" t="str">
        <x:v>Normal</x:v>
      </x:c>
      <x:c r="C31" s="20" t="n">
        <x:v>0</x:v>
      </x:c>
      <x:c r="D31" s="20" t="n">
        <x:v>0</x:v>
      </x:c>
      <x:c r="E31" s="20" t="n">
        <x:v>87</x:v>
      </x:c>
      <x:c r="F31" s="20" t="n">
        <x:v>1</x:v>
      </x:c>
      <x:c r="G31" s="20" t="n">
        <x:v>48</x:v>
      </x:c>
      <x:c r="H31" s="20" t="n">
        <x:v>2</x:v>
      </x:c>
      <x:c r="I31" s="20" t="n">
        <x:f>SUM(C31:H31)</x:f>
        <x:v>138</x:v>
      </x:c>
      <x:c r="J31" s="20" t="n">
        <x:f>ROUND(($B$59+$E$59*(A31-1-INT((A31-1)/$H$59)))*IF(MOD(A31,$H$59)=0,$K$59,1),0)</x:f>
        <x:v>1050</x:v>
      </x:c>
      <x:c r="K31" s="20" t="n">
        <x:f>C31*VLOOKUP("Basic",'Monster'!$A$8:$K$13,6,FALSE)+D31*VLOOKUP("VoidHound",'Monster'!$A$8:$K$13,6,FALSE)+E31*VLOOKUP("VoidSentinel",'Monster'!$A$8:$K$13,6,FALSE)+F31*VLOOKUP("VoidGuard",'Monster'!$A$8:$K$13,6,FALSE)+G31*VLOOKUP("VoidBrute",'Monster'!$A$8:$K$13,6,FALSE)+H31*VLOOKUP("VoidGolem",'Monster'!$A$8:$K$13,6,FALSE)</x:f>
        <x:v>1050</x:v>
      </x:c>
      <x:c r="L31" s="20" t="n">
        <x:f>J31-K31</x:f>
        <x:v>0</x:v>
      </x:c>
      <x:c r="M31" s="43" t="n">
        <x:f>MAX($B$61,$E$60-MAX(0,A31-$H$60)*$K$60)</x:f>
        <x:v>0.615</x:v>
      </x:c>
      <x:c r="N31" s="20" t="n">
        <x:f>C31*VLOOKUP("Basic",'Monster'!$A$8:$K$13,4,FALSE)+D31*VLOOKUP("VoidHound",'Monster'!$A$8:$K$13,4,FALSE)+E31*VLOOKUP("VoidSentinel",'Monster'!$A$8:$K$13,4,FALSE)+F31*VLOOKUP("VoidGuard",'Monster'!$A$8:$K$13,4,FALSE)+G31*VLOOKUP("VoidBrute",'Monster'!$A$8:$K$13,4,FALSE)+H31*VLOOKUP("VoidGolem",'Monster'!$A$8:$K$13,4,FALSE)</x:f>
        <x:v>22110</x:v>
      </x:c>
    </x:row>
    <x:row r="32" ht="23" customHeight="1">
      <x:c r="A32" s="17" t="n">
        <x:v>25</x:v>
      </x:c>
      <x:c r="B32" s="3" t="str">
        <x:v>Milestone</x:v>
      </x:c>
      <x:c r="C32" s="19" t="n">
        <x:v>0</x:v>
      </x:c>
      <x:c r="D32" s="19" t="n">
        <x:v>0</x:v>
      </x:c>
      <x:c r="E32" s="19" t="n">
        <x:v>0</x:v>
      </x:c>
      <x:c r="F32" s="19" t="n">
        <x:v>0</x:v>
      </x:c>
      <x:c r="G32" s="19" t="n">
        <x:v>128</x:v>
      </x:c>
      <x:c r="H32" s="19" t="n">
        <x:v>2</x:v>
      </x:c>
      <x:c r="I32" s="19" t="n">
        <x:f>SUM(C32:H32)</x:f>
        <x:v>130</x:v>
      </x:c>
      <x:c r="J32" s="19" t="n">
        <x:f>ROUND(($B$59+$E$59*(A32-1-INT((A32-1)/$H$59)))*IF(MOD(A32,$H$59)=0,$K$59,1),0)</x:f>
        <x:v>1320</x:v>
      </x:c>
      <x:c r="K32" s="19" t="n">
        <x:f>C32*VLOOKUP("Basic",'Monster'!$A$8:$K$13,6,FALSE)+D32*VLOOKUP("VoidHound",'Monster'!$A$8:$K$13,6,FALSE)+E32*VLOOKUP("VoidSentinel",'Monster'!$A$8:$K$13,6,FALSE)+F32*VLOOKUP("VoidGuard",'Monster'!$A$8:$K$13,6,FALSE)+G32*VLOOKUP("VoidBrute",'Monster'!$A$8:$K$13,6,FALSE)+H32*VLOOKUP("VoidGolem",'Monster'!$A$8:$K$13,6,FALSE)</x:f>
        <x:v>1320</x:v>
      </x:c>
      <x:c r="L32" s="19" t="n">
        <x:f>J32-K32</x:f>
        <x:v>0</x:v>
      </x:c>
      <x:c r="M32" s="42" t="n">
        <x:f>MAX($B$61,$E$60-MAX(0,A32-$H$60)*$K$60)</x:f>
        <x:v>0.6000000000000001</x:v>
      </x:c>
      <x:c r="N32" s="19" t="n">
        <x:f>C32*VLOOKUP("Basic",'Monster'!$A$8:$K$13,4,FALSE)+D32*VLOOKUP("VoidHound",'Monster'!$A$8:$K$13,4,FALSE)+E32*VLOOKUP("VoidSentinel",'Monster'!$A$8:$K$13,4,FALSE)+F32*VLOOKUP("VoidGuard",'Monster'!$A$8:$K$13,4,FALSE)+G32*VLOOKUP("VoidBrute",'Monster'!$A$8:$K$13,4,FALSE)+H32*VLOOKUP("VoidGolem",'Monster'!$A$8:$K$13,4,FALSE)</x:f>
        <x:v>29120</x:v>
      </x:c>
    </x:row>
    <x:row r="33" ht="23" customHeight="1">
      <x:c r="A33" s="18" t="n">
        <x:v>26</x:v>
      </x:c>
      <x:c r="B33" s="14" t="str">
        <x:v>Normal</x:v>
      </x:c>
      <x:c r="C33" s="20" t="n">
        <x:v>1</x:v>
      </x:c>
      <x:c r="D33" s="20" t="n">
        <x:v>1</x:v>
      </x:c>
      <x:c r="E33" s="20" t="n">
        <x:v>0</x:v>
      </x:c>
      <x:c r="F33" s="20" t="n">
        <x:v>136</x:v>
      </x:c>
      <x:c r="G33" s="20" t="n">
        <x:v>0</x:v>
      </x:c>
      <x:c r="H33" s="20" t="n">
        <x:v>0</x:v>
      </x:c>
      <x:c r="I33" s="20" t="n">
        <x:f>SUM(C33:H33)</x:f>
        <x:v>138</x:v>
      </x:c>
      <x:c r="J33" s="20" t="n">
        <x:f>ROUND(($B$59+$E$59*(A33-1-INT((A33-1)/$H$59)))*IF(MOD(A33,$H$59)=0,$K$59,1),0)</x:f>
        <x:v>1100</x:v>
      </x:c>
      <x:c r="K33" s="20" t="n">
        <x:f>C33*VLOOKUP("Basic",'Monster'!$A$8:$K$13,6,FALSE)+D33*VLOOKUP("VoidHound",'Monster'!$A$8:$K$13,6,FALSE)+E33*VLOOKUP("VoidSentinel",'Monster'!$A$8:$K$13,6,FALSE)+F33*VLOOKUP("VoidGuard",'Monster'!$A$8:$K$13,6,FALSE)+G33*VLOOKUP("VoidBrute",'Monster'!$A$8:$K$13,6,FALSE)+H33*VLOOKUP("VoidGolem",'Monster'!$A$8:$K$13,6,FALSE)</x:f>
        <x:v>1100</x:v>
      </x:c>
      <x:c r="L33" s="20" t="n">
        <x:f>J33-K33</x:f>
        <x:v>0</x:v>
      </x:c>
      <x:c r="M33" s="43" t="n">
        <x:f>MAX($B$61,$E$60-MAX(0,A33-$H$60)*$K$60)</x:f>
        <x:v>0.585</x:v>
      </x:c>
      <x:c r="N33" s="20" t="n">
        <x:f>C33*VLOOKUP("Basic",'Monster'!$A$8:$K$13,4,FALSE)+D33*VLOOKUP("VoidHound",'Monster'!$A$8:$K$13,4,FALSE)+E33*VLOOKUP("VoidSentinel",'Monster'!$A$8:$K$13,4,FALSE)+F33*VLOOKUP("VoidGuard",'Monster'!$A$8:$K$13,4,FALSE)+G33*VLOOKUP("VoidBrute",'Monster'!$A$8:$K$13,4,FALSE)+H33*VLOOKUP("VoidGolem",'Monster'!$A$8:$K$13,4,FALSE)</x:f>
        <x:v>20560</x:v>
      </x:c>
    </x:row>
    <x:row r="34" ht="23" customHeight="1">
      <x:c r="A34" s="17" t="n">
        <x:v>27</x:v>
      </x:c>
      <x:c r="B34" s="3" t="str">
        <x:v>Normal</x:v>
      </x:c>
      <x:c r="C34" s="19" t="n">
        <x:v>112</x:v>
      </x:c>
      <x:c r="D34" s="19" t="n">
        <x:v>42</x:v>
      </x:c>
      <x:c r="E34" s="19" t="n">
        <x:v>48</x:v>
      </x:c>
      <x:c r="F34" s="19" t="n">
        <x:v>1</x:v>
      </x:c>
      <x:c r="G34" s="19" t="n">
        <x:v>0</x:v>
      </x:c>
      <x:c r="H34" s="19" t="n">
        <x:v>0</x:v>
      </x:c>
      <x:c r="I34" s="19" t="n">
        <x:f>SUM(C34:H34)</x:f>
        <x:v>203</x:v>
      </x:c>
      <x:c r="J34" s="19" t="n">
        <x:f>ROUND(($B$59+$E$59*(A34-1-INT((A34-1)/$H$59)))*IF(MOD(A34,$H$59)=0,$K$59,1),0)</x:f>
        <x:v>1150</x:v>
      </x:c>
      <x:c r="K34" s="19" t="n">
        <x:f>C34*VLOOKUP("Basic",'Monster'!$A$8:$K$13,6,FALSE)+D34*VLOOKUP("VoidHound",'Monster'!$A$8:$K$13,6,FALSE)+E34*VLOOKUP("VoidSentinel",'Monster'!$A$8:$K$13,6,FALSE)+F34*VLOOKUP("VoidGuard",'Monster'!$A$8:$K$13,6,FALSE)+G34*VLOOKUP("VoidBrute",'Monster'!$A$8:$K$13,6,FALSE)+H34*VLOOKUP("VoidGolem",'Monster'!$A$8:$K$13,6,FALSE)</x:f>
        <x:v>1150</x:v>
      </x:c>
      <x:c r="L34" s="19" t="n">
        <x:f>J34-K34</x:f>
        <x:v>0</x:v>
      </x:c>
      <x:c r="M34" s="42" t="n">
        <x:f>MAX($B$61,$E$60-MAX(0,A34-$H$60)*$K$60)</x:f>
        <x:v>0.5700000000000001</x:v>
      </x:c>
      <x:c r="N34" s="19" t="n">
        <x:f>C34*VLOOKUP("Basic",'Monster'!$A$8:$K$13,4,FALSE)+D34*VLOOKUP("VoidHound",'Monster'!$A$8:$K$13,4,FALSE)+E34*VLOOKUP("VoidSentinel",'Monster'!$A$8:$K$13,4,FALSE)+F34*VLOOKUP("VoidGuard",'Monster'!$A$8:$K$13,4,FALSE)+G34*VLOOKUP("VoidBrute",'Monster'!$A$8:$K$13,4,FALSE)+H34*VLOOKUP("VoidGolem",'Monster'!$A$8:$K$13,4,FALSE)</x:f>
        <x:v>19630</x:v>
      </x:c>
    </x:row>
    <x:row r="35" ht="23" customHeight="1">
      <x:c r="A35" s="18" t="n">
        <x:v>28</x:v>
      </x:c>
      <x:c r="B35" s="14" t="str">
        <x:v>Normal</x:v>
      </x:c>
      <x:c r="C35" s="20" t="n">
        <x:v>156</x:v>
      </x:c>
      <x:c r="D35" s="20" t="n">
        <x:v>0</x:v>
      </x:c>
      <x:c r="E35" s="20" t="n">
        <x:v>0</x:v>
      </x:c>
      <x:c r="F35" s="20" t="n">
        <x:v>0</x:v>
      </x:c>
      <x:c r="G35" s="20" t="n">
        <x:v>42</x:v>
      </x:c>
      <x:c r="H35" s="20" t="n">
        <x:v>0</x:v>
      </x:c>
      <x:c r="I35" s="20" t="n">
        <x:f>SUM(C35:H35)</x:f>
        <x:v>198</x:v>
      </x:c>
      <x:c r="J35" s="20" t="n">
        <x:f>ROUND(($B$59+$E$59*(A35-1-INT((A35-1)/$H$59)))*IF(MOD(A35,$H$59)=0,$K$59,1),0)</x:f>
        <x:v>1200</x:v>
      </x:c>
      <x:c r="K35" s="20" t="n">
        <x:f>C35*VLOOKUP("Basic",'Monster'!$A$8:$K$13,6,FALSE)+D35*VLOOKUP("VoidHound",'Monster'!$A$8:$K$13,6,FALSE)+E35*VLOOKUP("VoidSentinel",'Monster'!$A$8:$K$13,6,FALSE)+F35*VLOOKUP("VoidGuard",'Monster'!$A$8:$K$13,6,FALSE)+G35*VLOOKUP("VoidBrute",'Monster'!$A$8:$K$13,6,FALSE)+H35*VLOOKUP("VoidGolem",'Monster'!$A$8:$K$13,6,FALSE)</x:f>
        <x:v>1200</x:v>
      </x:c>
      <x:c r="L35" s="20" t="n">
        <x:f>J35-K35</x:f>
        <x:v>0</x:v>
      </x:c>
      <x:c r="M35" s="43" t="n">
        <x:f>MAX($B$61,$E$60-MAX(0,A35-$H$60)*$K$60)</x:f>
        <x:v>0.555</x:v>
      </x:c>
      <x:c r="N35" s="20" t="n">
        <x:f>C35*VLOOKUP("Basic",'Monster'!$A$8:$K$13,4,FALSE)+D35*VLOOKUP("VoidHound",'Monster'!$A$8:$K$13,4,FALSE)+E35*VLOOKUP("VoidSentinel",'Monster'!$A$8:$K$13,4,FALSE)+F35*VLOOKUP("VoidGuard",'Monster'!$A$8:$K$13,4,FALSE)+G35*VLOOKUP("VoidBrute",'Monster'!$A$8:$K$13,4,FALSE)+H35*VLOOKUP("VoidGolem",'Monster'!$A$8:$K$13,4,FALSE)</x:f>
        <x:v>24840</x:v>
      </x:c>
    </x:row>
    <x:row r="36" ht="23" customHeight="1">
      <x:c r="A36" s="17" t="n">
        <x:v>29</x:v>
      </x:c>
      <x:c r="B36" s="3" t="str">
        <x:v>Normal</x:v>
      </x:c>
      <x:c r="C36" s="19" t="n">
        <x:v>1</x:v>
      </x:c>
      <x:c r="D36" s="19" t="n">
        <x:v>177</x:v>
      </x:c>
      <x:c r="E36" s="19" t="n">
        <x:v>1</x:v>
      </x:c>
      <x:c r="F36" s="19" t="n">
        <x:v>0</x:v>
      </x:c>
      <x:c r="G36" s="19" t="n">
        <x:v>0</x:v>
      </x:c>
      <x:c r="H36" s="19" t="n">
        <x:v>0</x:v>
      </x:c>
      <x:c r="I36" s="19" t="n">
        <x:f>SUM(C36:H36)</x:f>
        <x:v>179</x:v>
      </x:c>
      <x:c r="J36" s="19" t="n">
        <x:f>ROUND(($B$59+$E$59*(A36-1-INT((A36-1)/$H$59)))*IF(MOD(A36,$H$59)=0,$K$59,1),0)</x:f>
        <x:v>1250</x:v>
      </x:c>
      <x:c r="K36" s="19" t="n">
        <x:f>C36*VLOOKUP("Basic",'Monster'!$A$8:$K$13,6,FALSE)+D36*VLOOKUP("VoidHound",'Monster'!$A$8:$K$13,6,FALSE)+E36*VLOOKUP("VoidSentinel",'Monster'!$A$8:$K$13,6,FALSE)+F36*VLOOKUP("VoidGuard",'Monster'!$A$8:$K$13,6,FALSE)+G36*VLOOKUP("VoidBrute",'Monster'!$A$8:$K$13,6,FALSE)+H36*VLOOKUP("VoidGolem",'Monster'!$A$8:$K$13,6,FALSE)</x:f>
        <x:v>1250</x:v>
      </x:c>
      <x:c r="L36" s="19" t="n">
        <x:f>J36-K36</x:f>
        <x:v>0</x:v>
      </x:c>
      <x:c r="M36" s="42" t="n">
        <x:f>MAX($B$61,$E$60-MAX(0,A36-$H$60)*$K$60)</x:f>
        <x:v>0.54</x:v>
      </x:c>
      <x:c r="N36" s="19" t="n">
        <x:f>C36*VLOOKUP("Basic",'Monster'!$A$8:$K$13,4,FALSE)+D36*VLOOKUP("VoidHound",'Monster'!$A$8:$K$13,4,FALSE)+E36*VLOOKUP("VoidSentinel",'Monster'!$A$8:$K$13,4,FALSE)+F36*VLOOKUP("VoidGuard",'Monster'!$A$8:$K$13,4,FALSE)+G36*VLOOKUP("VoidBrute",'Monster'!$A$8:$K$13,4,FALSE)+H36*VLOOKUP("VoidGolem",'Monster'!$A$8:$K$13,4,FALSE)</x:f>
        <x:v>10840</x:v>
      </x:c>
    </x:row>
    <x:row r="37" ht="23" customHeight="1">
      <x:c r="A37" s="18" t="n">
        <x:v>30</x:v>
      </x:c>
      <x:c r="B37" s="14" t="str">
        <x:v>Milestone</x:v>
      </x:c>
      <x:c r="C37" s="20" t="n">
        <x:v>0</x:v>
      </x:c>
      <x:c r="D37" s="20" t="n">
        <x:v>0</x:v>
      </x:c>
      <x:c r="E37" s="20" t="n">
        <x:v>65</x:v>
      </x:c>
      <x:c r="F37" s="20" t="n">
        <x:v>80</x:v>
      </x:c>
      <x:c r="G37" s="20" t="n">
        <x:v>49</x:v>
      </x:c>
      <x:c r="H37" s="20" t="n">
        <x:v>2</x:v>
      </x:c>
      <x:c r="I37" s="20" t="n">
        <x:f>SUM(C37:H37)</x:f>
        <x:v>196</x:v>
      </x:c>
      <x:c r="J37" s="20" t="n">
        <x:f>ROUND(($B$59+$E$59*(A37-1-INT((A37-1)/$H$59)))*IF(MOD(A37,$H$59)=0,$K$59,1),0)</x:f>
        <x:v>1560</x:v>
      </x:c>
      <x:c r="K37" s="20" t="n">
        <x:f>C37*VLOOKUP("Basic",'Monster'!$A$8:$K$13,6,FALSE)+D37*VLOOKUP("VoidHound",'Monster'!$A$8:$K$13,6,FALSE)+E37*VLOOKUP("VoidSentinel",'Monster'!$A$8:$K$13,6,FALSE)+F37*VLOOKUP("VoidGuard",'Monster'!$A$8:$K$13,6,FALSE)+G37*VLOOKUP("VoidBrute",'Monster'!$A$8:$K$13,6,FALSE)+H37*VLOOKUP("VoidGolem",'Monster'!$A$8:$K$13,6,FALSE)</x:f>
        <x:v>1560</x:v>
      </x:c>
      <x:c r="L37" s="20" t="n">
        <x:f>J37-K37</x:f>
        <x:v>0</x:v>
      </x:c>
      <x:c r="M37" s="43" t="n">
        <x:f>MAX($B$61,$E$60-MAX(0,A37-$H$60)*$K$60)</x:f>
        <x:v>0.525</x:v>
      </x:c>
      <x:c r="N37" s="20" t="n">
        <x:f>C37*VLOOKUP("Basic",'Monster'!$A$8:$K$13,4,FALSE)+D37*VLOOKUP("VoidHound",'Monster'!$A$8:$K$13,4,FALSE)+E37*VLOOKUP("VoidSentinel",'Monster'!$A$8:$K$13,4,FALSE)+F37*VLOOKUP("VoidGuard",'Monster'!$A$8:$K$13,4,FALSE)+G37*VLOOKUP("VoidBrute",'Monster'!$A$8:$K$13,4,FALSE)+H37*VLOOKUP("VoidGolem",'Monster'!$A$8:$K$13,4,FALSE)</x:f>
        <x:v>31540</x:v>
      </x:c>
    </x:row>
    <x:row r="38" ht="23" customHeight="1">
      <x:c r="A38" s="17" t="n">
        <x:v>31</x:v>
      </x:c>
      <x:c r="B38" s="3" t="str">
        <x:v>Normal</x:v>
      </x:c>
      <x:c r="C38" s="19" t="n">
        <x:v>116</x:v>
      </x:c>
      <x:c r="D38" s="19" t="n">
        <x:v>60</x:v>
      </x:c>
      <x:c r="E38" s="19" t="n">
        <x:v>50</x:v>
      </x:c>
      <x:c r="F38" s="19" t="n">
        <x:v>0</x:v>
      </x:c>
      <x:c r="G38" s="19" t="n">
        <x:v>0</x:v>
      </x:c>
      <x:c r="H38" s="19" t="n">
        <x:v>0</x:v>
      </x:c>
      <x:c r="I38" s="19" t="n">
        <x:f>SUM(C38:H38)</x:f>
        <x:v>226</x:v>
      </x:c>
      <x:c r="J38" s="19" t="n">
        <x:f>ROUND(($B$59+$E$59*(A38-1-INT((A38-1)/$H$59)))*IF(MOD(A38,$H$59)=0,$K$59,1),0)</x:f>
        <x:v>1300</x:v>
      </x:c>
      <x:c r="K38" s="19" t="n">
        <x:f>C38*VLOOKUP("Basic",'Monster'!$A$8:$K$13,6,FALSE)+D38*VLOOKUP("VoidHound",'Monster'!$A$8:$K$13,6,FALSE)+E38*VLOOKUP("VoidSentinel",'Monster'!$A$8:$K$13,6,FALSE)+F38*VLOOKUP("VoidGuard",'Monster'!$A$8:$K$13,6,FALSE)+G38*VLOOKUP("VoidBrute",'Monster'!$A$8:$K$13,6,FALSE)+H38*VLOOKUP("VoidGolem",'Monster'!$A$8:$K$13,6,FALSE)</x:f>
        <x:v>1300</x:v>
      </x:c>
      <x:c r="L38" s="19" t="n">
        <x:f>J38-K38</x:f>
        <x:v>0</x:v>
      </x:c>
      <x:c r="M38" s="42" t="n">
        <x:f>MAX($B$61,$E$60-MAX(0,A38-$H$60)*$K$60)</x:f>
        <x:v>0.51</x:v>
      </x:c>
      <x:c r="N38" s="19" t="n">
        <x:f>C38*VLOOKUP("Basic",'Monster'!$A$8:$K$13,4,FALSE)+D38*VLOOKUP("VoidHound",'Monster'!$A$8:$K$13,4,FALSE)+E38*VLOOKUP("VoidSentinel",'Monster'!$A$8:$K$13,4,FALSE)+F38*VLOOKUP("VoidGuard",'Monster'!$A$8:$K$13,4,FALSE)+G38*VLOOKUP("VoidBrute",'Monster'!$A$8:$K$13,4,FALSE)+H38*VLOOKUP("VoidGolem",'Monster'!$A$8:$K$13,4,FALSE)</x:f>
        <x:v>21200</x:v>
      </x:c>
    </x:row>
    <x:row r="39" ht="23" customHeight="1">
      <x:c r="A39" s="18" t="n">
        <x:v>32</x:v>
      </x:c>
      <x:c r="B39" s="14" t="str">
        <x:v>Normal</x:v>
      </x:c>
      <x:c r="C39" s="20" t="n">
        <x:v>176</x:v>
      </x:c>
      <x:c r="D39" s="20" t="n">
        <x:v>0</x:v>
      </x:c>
      <x:c r="E39" s="20" t="n">
        <x:v>77</x:v>
      </x:c>
      <x:c r="F39" s="20" t="n">
        <x:v>1</x:v>
      </x:c>
      <x:c r="G39" s="20" t="n">
        <x:v>0</x:v>
      </x:c>
      <x:c r="H39" s="20" t="n">
        <x:v>0</x:v>
      </x:c>
      <x:c r="I39" s="20" t="n">
        <x:f>SUM(C39:H39)</x:f>
        <x:v>254</x:v>
      </x:c>
      <x:c r="J39" s="20" t="n">
        <x:f>ROUND(($B$59+$E$59*(A39-1-INT((A39-1)/$H$59)))*IF(MOD(A39,$H$59)=0,$K$59,1),0)</x:f>
        <x:v>1350</x:v>
      </x:c>
      <x:c r="K39" s="20" t="n">
        <x:f>C39*VLOOKUP("Basic",'Monster'!$A$8:$K$13,6,FALSE)+D39*VLOOKUP("VoidHound",'Monster'!$A$8:$K$13,6,FALSE)+E39*VLOOKUP("VoidSentinel",'Monster'!$A$8:$K$13,6,FALSE)+F39*VLOOKUP("VoidGuard",'Monster'!$A$8:$K$13,6,FALSE)+G39*VLOOKUP("VoidBrute",'Monster'!$A$8:$K$13,6,FALSE)+H39*VLOOKUP("VoidGolem",'Monster'!$A$8:$K$13,6,FALSE)</x:f>
        <x:v>1350</x:v>
      </x:c>
      <x:c r="L39" s="20" t="n">
        <x:f>J39-K39</x:f>
        <x:v>0</x:v>
      </x:c>
      <x:c r="M39" s="43" t="n">
        <x:f>MAX($B$61,$E$60-MAX(0,A39-$H$60)*$K$60)</x:f>
        <x:v>0.49500000000000005</x:v>
      </x:c>
      <x:c r="N39" s="20" t="n">
        <x:f>C39*VLOOKUP("Basic",'Monster'!$A$8:$K$13,4,FALSE)+D39*VLOOKUP("VoidHound",'Monster'!$A$8:$K$13,4,FALSE)+E39*VLOOKUP("VoidSentinel",'Monster'!$A$8:$K$13,4,FALSE)+F39*VLOOKUP("VoidGuard",'Monster'!$A$8:$K$13,4,FALSE)+G39*VLOOKUP("VoidBrute",'Monster'!$A$8:$K$13,4,FALSE)+H39*VLOOKUP("VoidGolem",'Monster'!$A$8:$K$13,4,FALSE)</x:f>
        <x:v>26990</x:v>
      </x:c>
    </x:row>
    <x:row r="40" ht="23" customHeight="1">
      <x:c r="A40" s="17" t="n">
        <x:v>33</x:v>
      </x:c>
      <x:c r="B40" s="3" t="str">
        <x:v>Normal</x:v>
      </x:c>
      <x:c r="C40" s="19" t="n">
        <x:v>1</x:v>
      </x:c>
      <x:c r="D40" s="19" t="n">
        <x:v>1</x:v>
      </x:c>
      <x:c r="E40" s="19" t="n">
        <x:v>0</x:v>
      </x:c>
      <x:c r="F40" s="19" t="n">
        <x:v>171</x:v>
      </x:c>
      <x:c r="G40" s="19" t="n">
        <x:v>0</x:v>
      </x:c>
      <x:c r="H40" s="19" t="n">
        <x:v>1</x:v>
      </x:c>
      <x:c r="I40" s="19" t="n">
        <x:f>SUM(C40:H40)</x:f>
        <x:v>174</x:v>
      </x:c>
      <x:c r="J40" s="19" t="n">
        <x:f>ROUND(($B$59+$E$59*(A40-1-INT((A40-1)/$H$59)))*IF(MOD(A40,$H$59)=0,$K$59,1),0)</x:f>
        <x:v>1400</x:v>
      </x:c>
      <x:c r="K40" s="19" t="n">
        <x:f>C40*VLOOKUP("Basic",'Monster'!$A$8:$K$13,6,FALSE)+D40*VLOOKUP("VoidHound",'Monster'!$A$8:$K$13,6,FALSE)+E40*VLOOKUP("VoidSentinel",'Monster'!$A$8:$K$13,6,FALSE)+F40*VLOOKUP("VoidGuard",'Monster'!$A$8:$K$13,6,FALSE)+G40*VLOOKUP("VoidBrute",'Monster'!$A$8:$K$13,6,FALSE)+H40*VLOOKUP("VoidGolem",'Monster'!$A$8:$K$13,6,FALSE)</x:f>
        <x:v>1400</x:v>
      </x:c>
      <x:c r="L40" s="19" t="n">
        <x:f>J40-K40</x:f>
        <x:v>0</x:v>
      </x:c>
      <x:c r="M40" s="42" t="n">
        <x:f>MAX($B$61,$E$60-MAX(0,A40-$H$60)*$K$60)</x:f>
        <x:v>0.48000000000000004</x:v>
      </x:c>
      <x:c r="N40" s="19" t="n">
        <x:f>C40*VLOOKUP("Basic",'Monster'!$A$8:$K$13,4,FALSE)+D40*VLOOKUP("VoidHound",'Monster'!$A$8:$K$13,4,FALSE)+E40*VLOOKUP("VoidSentinel",'Monster'!$A$8:$K$13,4,FALSE)+F40*VLOOKUP("VoidGuard",'Monster'!$A$8:$K$13,4,FALSE)+G40*VLOOKUP("VoidBrute",'Monster'!$A$8:$K$13,4,FALSE)+H40*VLOOKUP("VoidGolem",'Monster'!$A$8:$K$13,4,FALSE)</x:f>
        <x:v>26290</x:v>
      </x:c>
    </x:row>
    <x:row r="41" ht="23" customHeight="1">
      <x:c r="A41" s="18" t="n">
        <x:v>34</x:v>
      </x:c>
      <x:c r="B41" s="14" t="str">
        <x:v>Normal</x:v>
      </x:c>
      <x:c r="C41" s="20" t="n">
        <x:v>122</x:v>
      </x:c>
      <x:c r="D41" s="20" t="n">
        <x:v>76</x:v>
      </x:c>
      <x:c r="E41" s="20" t="n">
        <x:v>0</x:v>
      </x:c>
      <x:c r="F41" s="20" t="n">
        <x:v>1</x:v>
      </x:c>
      <x:c r="G41" s="20" t="n">
        <x:v>30</x:v>
      </x:c>
      <x:c r="H41" s="20" t="n">
        <x:v>0</x:v>
      </x:c>
      <x:c r="I41" s="20" t="n">
        <x:f>SUM(C41:H41)</x:f>
        <x:v>229</x:v>
      </x:c>
      <x:c r="J41" s="20" t="n">
        <x:f>ROUND(($B$59+$E$59*(A41-1-INT((A41-1)/$H$59)))*IF(MOD(A41,$H$59)=0,$K$59,1),0)</x:f>
        <x:v>1450</x:v>
      </x:c>
      <x:c r="K41" s="20" t="n">
        <x:f>C41*VLOOKUP("Basic",'Monster'!$A$8:$K$13,6,FALSE)+D41*VLOOKUP("VoidHound",'Monster'!$A$8:$K$13,6,FALSE)+E41*VLOOKUP("VoidSentinel",'Monster'!$A$8:$K$13,6,FALSE)+F41*VLOOKUP("VoidGuard",'Monster'!$A$8:$K$13,6,FALSE)+G41*VLOOKUP("VoidBrute",'Monster'!$A$8:$K$13,6,FALSE)+H41*VLOOKUP("VoidGolem",'Monster'!$A$8:$K$13,6,FALSE)</x:f>
        <x:v>1450</x:v>
      </x:c>
      <x:c r="L41" s="20" t="n">
        <x:f>J41-K41</x:f>
        <x:v>0</x:v>
      </x:c>
      <x:c r="M41" s="43" t="n">
        <x:f>MAX($B$61,$E$60-MAX(0,A41-$H$60)*$K$60)</x:f>
        <x:v>0.465</x:v>
      </x:c>
      <x:c r="N41" s="20" t="n">
        <x:f>C41*VLOOKUP("Basic",'Monster'!$A$8:$K$13,4,FALSE)+D41*VLOOKUP("VoidHound",'Monster'!$A$8:$K$13,4,FALSE)+E41*VLOOKUP("VoidSentinel",'Monster'!$A$8:$K$13,4,FALSE)+F41*VLOOKUP("VoidGuard",'Monster'!$A$8:$K$13,4,FALSE)+G41*VLOOKUP("VoidBrute",'Monster'!$A$8:$K$13,4,FALSE)+H41*VLOOKUP("VoidGolem",'Monster'!$A$8:$K$13,4,FALSE)</x:f>
        <x:v>23510</x:v>
      </x:c>
    </x:row>
    <x:row r="42" ht="23" customHeight="1">
      <x:c r="A42" s="17" t="n">
        <x:v>35</x:v>
      </x:c>
      <x:c r="B42" s="3" t="str">
        <x:v>Milestone</x:v>
      </x:c>
      <x:c r="C42" s="19" t="n">
        <x:v>122</x:v>
      </x:c>
      <x:c r="D42" s="19" t="n">
        <x:v>0</x:v>
      </x:c>
      <x:c r="E42" s="19" t="n">
        <x:v>1</x:v>
      </x:c>
      <x:c r="F42" s="19" t="n">
        <x:v>78</x:v>
      </x:c>
      <x:c r="G42" s="19" t="n">
        <x:v>54</x:v>
      </x:c>
      <x:c r="H42" s="19" t="n">
        <x:v>1</x:v>
      </x:c>
      <x:c r="I42" s="19" t="n">
        <x:f>SUM(C42:H42)</x:f>
        <x:v>256</x:v>
      </x:c>
      <x:c r="J42" s="19" t="n">
        <x:f>ROUND(($B$59+$E$59*(A42-1-INT((A42-1)/$H$59)))*IF(MOD(A42,$H$59)=0,$K$59,1),0)</x:f>
        <x:v>1800</x:v>
      </x:c>
      <x:c r="K42" s="19" t="n">
        <x:f>C42*VLOOKUP("Basic",'Monster'!$A$8:$K$13,6,FALSE)+D42*VLOOKUP("VoidHound",'Monster'!$A$8:$K$13,6,FALSE)+E42*VLOOKUP("VoidSentinel",'Monster'!$A$8:$K$13,6,FALSE)+F42*VLOOKUP("VoidGuard",'Monster'!$A$8:$K$13,6,FALSE)+G42*VLOOKUP("VoidBrute",'Monster'!$A$8:$K$13,6,FALSE)+H42*VLOOKUP("VoidGolem",'Monster'!$A$8:$K$13,6,FALSE)</x:f>
        <x:v>1800</x:v>
      </x:c>
      <x:c r="L42" s="19" t="n">
        <x:f>J42-K42</x:f>
        <x:v>0</x:v>
      </x:c>
      <x:c r="M42" s="42" t="n">
        <x:f>MAX($B$61,$E$60-MAX(0,A42-$H$60)*$K$60)</x:f>
        <x:v>0.45000000000000007</x:v>
      </x:c>
      <x:c r="N42" s="19" t="n">
        <x:f>C42*VLOOKUP("Basic",'Monster'!$A$8:$K$13,4,FALSE)+D42*VLOOKUP("VoidHound",'Monster'!$A$8:$K$13,4,FALSE)+E42*VLOOKUP("VoidSentinel",'Monster'!$A$8:$K$13,4,FALSE)+F42*VLOOKUP("VoidGuard",'Monster'!$A$8:$K$13,4,FALSE)+G42*VLOOKUP("VoidBrute",'Monster'!$A$8:$K$13,4,FALSE)+H42*VLOOKUP("VoidGolem",'Monster'!$A$8:$K$13,4,FALSE)</x:f>
        <x:v>36380</x:v>
      </x:c>
    </x:row>
    <x:row r="43" ht="23" customHeight="1">
      <x:c r="A43" s="18" t="n">
        <x:v>36</x:v>
      </x:c>
      <x:c r="B43" s="14" t="str">
        <x:v>Normal</x:v>
      </x:c>
      <x:c r="C43" s="20" t="n">
        <x:v>134</x:v>
      </x:c>
      <x:c r="D43" s="20" t="n">
        <x:v>0</x:v>
      </x:c>
      <x:c r="E43" s="20" t="n">
        <x:v>1</x:v>
      </x:c>
      <x:c r="F43" s="20" t="n">
        <x:v>58</x:v>
      </x:c>
      <x:c r="G43" s="20" t="n">
        <x:v>34</x:v>
      </x:c>
      <x:c r="H43" s="20" t="n">
        <x:v>1</x:v>
      </x:c>
      <x:c r="I43" s="20" t="n">
        <x:f>SUM(C43:H43)</x:f>
        <x:v>228</x:v>
      </x:c>
      <x:c r="J43" s="20" t="n">
        <x:f>ROUND(($B$59+$E$59*(A43-1-INT((A43-1)/$H$59)))*IF(MOD(A43,$H$59)=0,$K$59,1),0)</x:f>
        <x:v>1500</x:v>
      </x:c>
      <x:c r="K43" s="20" t="n">
        <x:f>C43*VLOOKUP("Basic",'Monster'!$A$8:$K$13,6,FALSE)+D43*VLOOKUP("VoidHound",'Monster'!$A$8:$K$13,6,FALSE)+E43*VLOOKUP("VoidSentinel",'Monster'!$A$8:$K$13,6,FALSE)+F43*VLOOKUP("VoidGuard",'Monster'!$A$8:$K$13,6,FALSE)+G43*VLOOKUP("VoidBrute",'Monster'!$A$8:$K$13,6,FALSE)+H43*VLOOKUP("VoidGolem",'Monster'!$A$8:$K$13,6,FALSE)</x:f>
        <x:v>1500</x:v>
      </x:c>
      <x:c r="L43" s="20" t="n">
        <x:f>J43-K43</x:f>
        <x:v>0</x:v>
      </x:c>
      <x:c r="M43" s="43" t="n">
        <x:f>MAX($B$61,$E$60-MAX(0,A43-$H$60)*$K$60)</x:f>
        <x:v>0.43500000000000005</x:v>
      </x:c>
      <x:c r="N43" s="20" t="n">
        <x:f>C43*VLOOKUP("Basic",'Monster'!$A$8:$K$13,4,FALSE)+D43*VLOOKUP("VoidHound",'Monster'!$A$8:$K$13,4,FALSE)+E43*VLOOKUP("VoidSentinel",'Monster'!$A$8:$K$13,4,FALSE)+F43*VLOOKUP("VoidGuard",'Monster'!$A$8:$K$13,4,FALSE)+G43*VLOOKUP("VoidBrute",'Monster'!$A$8:$K$13,4,FALSE)+H43*VLOOKUP("VoidGolem",'Monster'!$A$8:$K$13,4,FALSE)</x:f>
        <x:v>30180</x:v>
      </x:c>
    </x:row>
    <x:row r="44" ht="23" customHeight="1">
      <x:c r="A44" s="17" t="n">
        <x:v>37</x:v>
      </x:c>
      <x:c r="B44" s="3" t="str">
        <x:v>Normal</x:v>
      </x:c>
      <x:c r="C44" s="19" t="n">
        <x:v>176</x:v>
      </x:c>
      <x:c r="D44" s="19" t="n">
        <x:v>0</x:v>
      </x:c>
      <x:c r="E44" s="19" t="n">
        <x:v>105</x:v>
      </x:c>
      <x:c r="F44" s="19" t="n">
        <x:v>0</x:v>
      </x:c>
      <x:c r="G44" s="19" t="n">
        <x:v>0</x:v>
      </x:c>
      <x:c r="H44" s="19" t="n">
        <x:v>2</x:v>
      </x:c>
      <x:c r="I44" s="19" t="n">
        <x:f>SUM(C44:H44)</x:f>
        <x:v>283</x:v>
      </x:c>
      <x:c r="J44" s="19" t="n">
        <x:f>ROUND(($B$59+$E$59*(A44-1-INT((A44-1)/$H$59)))*IF(MOD(A44,$H$59)=0,$K$59,1),0)</x:f>
        <x:v>1550</x:v>
      </x:c>
      <x:c r="K44" s="19" t="n">
        <x:f>C44*VLOOKUP("Basic",'Monster'!$A$8:$K$13,6,FALSE)+D44*VLOOKUP("VoidHound",'Monster'!$A$8:$K$13,6,FALSE)+E44*VLOOKUP("VoidSentinel",'Monster'!$A$8:$K$13,6,FALSE)+F44*VLOOKUP("VoidGuard",'Monster'!$A$8:$K$13,6,FALSE)+G44*VLOOKUP("VoidBrute",'Monster'!$A$8:$K$13,6,FALSE)+H44*VLOOKUP("VoidGolem",'Monster'!$A$8:$K$13,6,FALSE)</x:f>
        <x:v>1550</x:v>
      </x:c>
      <x:c r="L44" s="19" t="n">
        <x:f>J44-K44</x:f>
        <x:v>0</x:v>
      </x:c>
      <x:c r="M44" s="42" t="n">
        <x:f>MAX($B$61,$E$60-MAX(0,A44-$H$60)*$K$60)</x:f>
        <x:v>0.42000000000000004</x:v>
      </x:c>
      <x:c r="N44" s="19" t="n">
        <x:f>C44*VLOOKUP("Basic",'Monster'!$A$8:$K$13,4,FALSE)+D44*VLOOKUP("VoidHound",'Monster'!$A$8:$K$13,4,FALSE)+E44*VLOOKUP("VoidSentinel",'Monster'!$A$8:$K$13,4,FALSE)+F44*VLOOKUP("VoidGuard",'Monster'!$A$8:$K$13,4,FALSE)+G44*VLOOKUP("VoidBrute",'Monster'!$A$8:$K$13,4,FALSE)+H44*VLOOKUP("VoidGolem",'Monster'!$A$8:$K$13,4,FALSE)</x:f>
        <x:v>31160</x:v>
      </x:c>
    </x:row>
    <x:row r="45" ht="23" customHeight="1">
      <x:c r="A45" s="18" t="n">
        <x:v>38</x:v>
      </x:c>
      <x:c r="B45" s="14" t="str">
        <x:v>Normal</x:v>
      </x:c>
      <x:c r="C45" s="20" t="n">
        <x:v>153</x:v>
      </x:c>
      <x:c r="D45" s="20" t="n">
        <x:v>1</x:v>
      </x:c>
      <x:c r="E45" s="20" t="n">
        <x:v>73</x:v>
      </x:c>
      <x:c r="F45" s="20" t="n">
        <x:v>0</x:v>
      </x:c>
      <x:c r="G45" s="20" t="n">
        <x:v>39</x:v>
      </x:c>
      <x:c r="H45" s="20" t="n">
        <x:v>0</x:v>
      </x:c>
      <x:c r="I45" s="20" t="n">
        <x:f>SUM(C45:H45)</x:f>
        <x:v>266</x:v>
      </x:c>
      <x:c r="J45" s="20" t="n">
        <x:f>ROUND(($B$59+$E$59*(A45-1-INT((A45-1)/$H$59)))*IF(MOD(A45,$H$59)=0,$K$59,1),0)</x:f>
        <x:v>1600</x:v>
      </x:c>
      <x:c r="K45" s="20" t="n">
        <x:f>C45*VLOOKUP("Basic",'Monster'!$A$8:$K$13,6,FALSE)+D45*VLOOKUP("VoidHound",'Monster'!$A$8:$K$13,6,FALSE)+E45*VLOOKUP("VoidSentinel",'Monster'!$A$8:$K$13,6,FALSE)+F45*VLOOKUP("VoidGuard",'Monster'!$A$8:$K$13,6,FALSE)+G45*VLOOKUP("VoidBrute",'Monster'!$A$8:$K$13,6,FALSE)+H45*VLOOKUP("VoidGolem",'Monster'!$A$8:$K$13,6,FALSE)</x:f>
        <x:v>1600</x:v>
      </x:c>
      <x:c r="L45" s="20" t="n">
        <x:f>J45-K45</x:f>
        <x:v>0</x:v>
      </x:c>
      <x:c r="M45" s="43" t="n">
        <x:f>MAX($B$61,$E$60-MAX(0,A45-$H$60)*$K$60)</x:f>
        <x:v>0.405</x:v>
      </x:c>
      <x:c r="N45" s="20" t="n">
        <x:f>C45*VLOOKUP("Basic",'Monster'!$A$8:$K$13,4,FALSE)+D45*VLOOKUP("VoidHound",'Monster'!$A$8:$K$13,4,FALSE)+E45*VLOOKUP("VoidSentinel",'Monster'!$A$8:$K$13,4,FALSE)+F45*VLOOKUP("VoidGuard",'Monster'!$A$8:$K$13,4,FALSE)+G45*VLOOKUP("VoidBrute",'Monster'!$A$8:$K$13,4,FALSE)+H45*VLOOKUP("VoidGolem",'Monster'!$A$8:$K$13,4,FALSE)</x:f>
        <x:v>32700</x:v>
      </x:c>
    </x:row>
    <x:row r="46" ht="23" customHeight="1">
      <x:c r="A46" s="17" t="n">
        <x:v>39</x:v>
      </x:c>
      <x:c r="B46" s="3" t="str">
        <x:v>Normal</x:v>
      </x:c>
      <x:c r="C46" s="19" t="n">
        <x:v>314</x:v>
      </x:c>
      <x:c r="D46" s="19" t="n">
        <x:v>0</x:v>
      </x:c>
      <x:c r="E46" s="19" t="n">
        <x:v>0</x:v>
      </x:c>
      <x:c r="F46" s="19" t="n">
        <x:v>0</x:v>
      </x:c>
      <x:c r="G46" s="19" t="n">
        <x:v>0</x:v>
      </x:c>
      <x:c r="H46" s="19" t="n">
        <x:v>4</x:v>
      </x:c>
      <x:c r="I46" s="19" t="n">
        <x:f>SUM(C46:H46)</x:f>
        <x:v>318</x:v>
      </x:c>
      <x:c r="J46" s="19" t="n">
        <x:f>ROUND(($B$59+$E$59*(A46-1-INT((A46-1)/$H$59)))*IF(MOD(A46,$H$59)=0,$K$59,1),0)</x:f>
        <x:v>1650</x:v>
      </x:c>
      <x:c r="K46" s="19" t="n">
        <x:f>C46*VLOOKUP("Basic",'Monster'!$A$8:$K$13,6,FALSE)+D46*VLOOKUP("VoidHound",'Monster'!$A$8:$K$13,6,FALSE)+E46*VLOOKUP("VoidSentinel",'Monster'!$A$8:$K$13,6,FALSE)+F46*VLOOKUP("VoidGuard",'Monster'!$A$8:$K$13,6,FALSE)+G46*VLOOKUP("VoidBrute",'Monster'!$A$8:$K$13,6,FALSE)+H46*VLOOKUP("VoidGolem",'Monster'!$A$8:$K$13,6,FALSE)</x:f>
        <x:v>1650</x:v>
      </x:c>
      <x:c r="L46" s="19" t="n">
        <x:f>J46-K46</x:f>
        <x:v>0</x:v>
      </x:c>
      <x:c r="M46" s="42" t="n">
        <x:f>MAX($B$61,$E$60-MAX(0,A46-$H$60)*$K$60)</x:f>
        <x:v>0.39</x:v>
      </x:c>
      <x:c r="N46" s="19" t="n">
        <x:f>C46*VLOOKUP("Basic",'Monster'!$A$8:$K$13,4,FALSE)+D46*VLOOKUP("VoidHound",'Monster'!$A$8:$K$13,4,FALSE)+E46*VLOOKUP("VoidSentinel",'Monster'!$A$8:$K$13,4,FALSE)+F46*VLOOKUP("VoidGuard",'Monster'!$A$8:$K$13,4,FALSE)+G46*VLOOKUP("VoidBrute",'Monster'!$A$8:$K$13,4,FALSE)+H46*VLOOKUP("VoidGolem",'Monster'!$A$8:$K$13,4,FALSE)</x:f>
        <x:v>33320</x:v>
      </x:c>
    </x:row>
    <x:row r="47" ht="23" customHeight="1">
      <x:c r="A47" s="18" t="n">
        <x:v>40</x:v>
      </x:c>
      <x:c r="B47" s="14" t="str">
        <x:v>Milestone</x:v>
      </x:c>
      <x:c r="C47" s="20" t="n">
        <x:v>0</x:v>
      </x:c>
      <x:c r="D47" s="20" t="n">
        <x:v>0</x:v>
      </x:c>
      <x:c r="E47" s="20" t="n">
        <x:v>0</x:v>
      </x:c>
      <x:c r="F47" s="20" t="n">
        <x:v>0</x:v>
      </x:c>
      <x:c r="G47" s="20" t="n">
        <x:v>200</x:v>
      </x:c>
      <x:c r="H47" s="20" t="n">
        <x:v>2</x:v>
      </x:c>
      <x:c r="I47" s="20" t="n">
        <x:f>SUM(C47:H47)</x:f>
        <x:v>202</x:v>
      </x:c>
      <x:c r="J47" s="20" t="n">
        <x:f>ROUND(($B$59+$E$59*(A47-1-INT((A47-1)/$H$59)))*IF(MOD(A47,$H$59)=0,$K$59,1),0)</x:f>
        <x:v>2040</x:v>
      </x:c>
      <x:c r="K47" s="20" t="n">
        <x:f>C47*VLOOKUP("Basic",'Monster'!$A$8:$K$13,6,FALSE)+D47*VLOOKUP("VoidHound",'Monster'!$A$8:$K$13,6,FALSE)+E47*VLOOKUP("VoidSentinel",'Monster'!$A$8:$K$13,6,FALSE)+F47*VLOOKUP("VoidGuard",'Monster'!$A$8:$K$13,6,FALSE)+G47*VLOOKUP("VoidBrute",'Monster'!$A$8:$K$13,6,FALSE)+H47*VLOOKUP("VoidGolem",'Monster'!$A$8:$K$13,6,FALSE)</x:f>
        <x:v>2040</x:v>
      </x:c>
      <x:c r="L47" s="20" t="n">
        <x:f>J47-K47</x:f>
        <x:v>0</x:v>
      </x:c>
      <x:c r="M47" s="43" t="n">
        <x:f>MAX($B$61,$E$60-MAX(0,A47-$H$60)*$K$60)</x:f>
        <x:v>0.375</x:v>
      </x:c>
      <x:c r="N47" s="20" t="n">
        <x:f>C47*VLOOKUP("Basic",'Monster'!$A$8:$K$13,4,FALSE)+D47*VLOOKUP("VoidHound",'Monster'!$A$8:$K$13,4,FALSE)+E47*VLOOKUP("VoidSentinel",'Monster'!$A$8:$K$13,4,FALSE)+F47*VLOOKUP("VoidGuard",'Monster'!$A$8:$K$13,4,FALSE)+G47*VLOOKUP("VoidBrute",'Monster'!$A$8:$K$13,4,FALSE)+H47*VLOOKUP("VoidGolem",'Monster'!$A$8:$K$13,4,FALSE)</x:f>
        <x:v>44960</x:v>
      </x:c>
    </x:row>
    <x:row r="48" ht="23" customHeight="1">
      <x:c r="A48" s="17" t="n">
        <x:v>41</x:v>
      </x:c>
      <x:c r="B48" s="3" t="str">
        <x:v>Normal</x:v>
      </x:c>
      <x:c r="C48" s="19" t="n">
        <x:v>196</x:v>
      </x:c>
      <x:c r="D48" s="19" t="n">
        <x:v>102</x:v>
      </x:c>
      <x:c r="E48" s="19" t="n">
        <x:v>1</x:v>
      </x:c>
      <x:c r="F48" s="19" t="n">
        <x:v>0</x:v>
      </x:c>
      <x:c r="G48" s="19" t="n">
        <x:v>0</x:v>
      </x:c>
      <x:c r="H48" s="19" t="n">
        <x:v>0</x:v>
      </x:c>
      <x:c r="I48" s="19" t="n">
        <x:f>SUM(C48:H48)</x:f>
        <x:v>299</x:v>
      </x:c>
      <x:c r="J48" s="19" t="n">
        <x:f>ROUND(($B$59+$E$59*(A48-1-INT((A48-1)/$H$59)))*IF(MOD(A48,$H$59)=0,$K$59,1),0)</x:f>
        <x:v>1700</x:v>
      </x:c>
      <x:c r="K48" s="19" t="n">
        <x:f>C48*VLOOKUP("Basic",'Monster'!$A$8:$K$13,6,FALSE)+D48*VLOOKUP("VoidHound",'Monster'!$A$8:$K$13,6,FALSE)+E48*VLOOKUP("VoidSentinel",'Monster'!$A$8:$K$13,6,FALSE)+F48*VLOOKUP("VoidGuard",'Monster'!$A$8:$K$13,6,FALSE)+G48*VLOOKUP("VoidBrute",'Monster'!$A$8:$K$13,6,FALSE)+H48*VLOOKUP("VoidGolem",'Monster'!$A$8:$K$13,6,FALSE)</x:f>
        <x:v>1700</x:v>
      </x:c>
      <x:c r="L48" s="19" t="n">
        <x:f>J48-K48</x:f>
        <x:v>0</x:v>
      </x:c>
      <x:c r="M48" s="42" t="n">
        <x:f>MAX($B$61,$E$60-MAX(0,A48-$H$60)*$K$60)</x:f>
        <x:v>0.36</x:v>
      </x:c>
      <x:c r="N48" s="19" t="n">
        <x:f>C48*VLOOKUP("Basic",'Monster'!$A$8:$K$13,4,FALSE)+D48*VLOOKUP("VoidHound",'Monster'!$A$8:$K$13,4,FALSE)+E48*VLOOKUP("VoidSentinel",'Monster'!$A$8:$K$13,4,FALSE)+F48*VLOOKUP("VoidGuard",'Monster'!$A$8:$K$13,4,FALSE)+G48*VLOOKUP("VoidBrute",'Monster'!$A$8:$K$13,4,FALSE)+H48*VLOOKUP("VoidGolem",'Monster'!$A$8:$K$13,4,FALSE)</x:f>
        <x:v>25840</x:v>
      </x:c>
    </x:row>
    <x:row r="49" ht="23" customHeight="1">
      <x:c r="A49" s="18" t="n">
        <x:v>42</x:v>
      </x:c>
      <x:c r="B49" s="14" t="str">
        <x:v>Normal</x:v>
      </x:c>
      <x:c r="C49" s="20" t="n">
        <x:v>3</x:v>
      </x:c>
      <x:c r="D49" s="20" t="n">
        <x:v>99</x:v>
      </x:c>
      <x:c r="E49" s="20" t="n">
        <x:v>87</x:v>
      </x:c>
      <x:c r="F49" s="20" t="n">
        <x:v>0</x:v>
      </x:c>
      <x:c r="G49" s="20" t="n">
        <x:v>44</x:v>
      </x:c>
      <x:c r="H49" s="20" t="n">
        <x:v>4</x:v>
      </x:c>
      <x:c r="I49" s="20" t="n">
        <x:f>SUM(C49:H49)</x:f>
        <x:v>237</x:v>
      </x:c>
      <x:c r="J49" s="20" t="n">
        <x:f>ROUND(($B$59+$E$59*(A49-1-INT((A49-1)/$H$59)))*IF(MOD(A49,$H$59)=0,$K$59,1),0)</x:f>
        <x:v>1750</x:v>
      </x:c>
      <x:c r="K49" s="20" t="n">
        <x:f>C49*VLOOKUP("Basic",'Monster'!$A$8:$K$13,6,FALSE)+D49*VLOOKUP("VoidHound",'Monster'!$A$8:$K$13,6,FALSE)+E49*VLOOKUP("VoidSentinel",'Monster'!$A$8:$K$13,6,FALSE)+F49*VLOOKUP("VoidGuard",'Monster'!$A$8:$K$13,6,FALSE)+G49*VLOOKUP("VoidBrute",'Monster'!$A$8:$K$13,6,FALSE)+H49*VLOOKUP("VoidGolem",'Monster'!$A$8:$K$13,6,FALSE)</x:f>
        <x:v>1750</x:v>
      </x:c>
      <x:c r="L49" s="20" t="n">
        <x:f>J49-K49</x:f>
        <x:v>0</x:v>
      </x:c>
      <x:c r="M49" s="43" t="n">
        <x:f>MAX($B$61,$E$60-MAX(0,A49-$H$60)*$K$60)</x:f>
        <x:v>0.36</x:v>
      </x:c>
      <x:c r="N49" s="20" t="n">
        <x:f>C49*VLOOKUP("Basic",'Monster'!$A$8:$K$13,4,FALSE)+D49*VLOOKUP("VoidHound",'Monster'!$A$8:$K$13,4,FALSE)+E49*VLOOKUP("VoidSentinel",'Monster'!$A$8:$K$13,4,FALSE)+F49*VLOOKUP("VoidGuard",'Monster'!$A$8:$K$13,4,FALSE)+G49*VLOOKUP("VoidBrute",'Monster'!$A$8:$K$13,4,FALSE)+H49*VLOOKUP("VoidGolem",'Monster'!$A$8:$K$13,4,FALSE)</x:f>
        <x:v>28280</x:v>
      </x:c>
    </x:row>
    <x:row r="50" ht="23" customHeight="1">
      <x:c r="A50" s="17" t="n">
        <x:v>43</x:v>
      </x:c>
      <x:c r="B50" s="3" t="str">
        <x:v>Normal</x:v>
      </x:c>
      <x:c r="C50" s="19" t="n">
        <x:v>174</x:v>
      </x:c>
      <x:c r="D50" s="19" t="n">
        <x:v>0</x:v>
      </x:c>
      <x:c r="E50" s="19" t="n">
        <x:v>87</x:v>
      </x:c>
      <x:c r="F50" s="19" t="n">
        <x:v>1</x:v>
      </x:c>
      <x:c r="G50" s="19" t="n">
        <x:v>34</x:v>
      </x:c>
      <x:c r="H50" s="19" t="n">
        <x:v>3</x:v>
      </x:c>
      <x:c r="I50" s="19" t="n">
        <x:f>SUM(C50:H50)</x:f>
        <x:v>299</x:v>
      </x:c>
      <x:c r="J50" s="19" t="n">
        <x:f>ROUND(($B$59+$E$59*(A50-1-INT((A50-1)/$H$59)))*IF(MOD(A50,$H$59)=0,$K$59,1),0)</x:f>
        <x:v>1800</x:v>
      </x:c>
      <x:c r="K50" s="19" t="n">
        <x:f>C50*VLOOKUP("Basic",'Monster'!$A$8:$K$13,6,FALSE)+D50*VLOOKUP("VoidHound",'Monster'!$A$8:$K$13,6,FALSE)+E50*VLOOKUP("VoidSentinel",'Monster'!$A$8:$K$13,6,FALSE)+F50*VLOOKUP("VoidGuard",'Monster'!$A$8:$K$13,6,FALSE)+G50*VLOOKUP("VoidBrute",'Monster'!$A$8:$K$13,6,FALSE)+H50*VLOOKUP("VoidGolem",'Monster'!$A$8:$K$13,6,FALSE)</x:f>
        <x:v>1800</x:v>
      </x:c>
      <x:c r="L50" s="19" t="n">
        <x:f>J50-K50</x:f>
        <x:v>0</x:v>
      </x:c>
      <x:c r="M50" s="42" t="n">
        <x:f>MAX($B$61,$E$60-MAX(0,A50-$H$60)*$K$60)</x:f>
        <x:v>0.36</x:v>
      </x:c>
      <x:c r="N50" s="19" t="n">
        <x:f>C50*VLOOKUP("Basic",'Monster'!$A$8:$K$13,4,FALSE)+D50*VLOOKUP("VoidHound",'Monster'!$A$8:$K$13,4,FALSE)+E50*VLOOKUP("VoidSentinel",'Monster'!$A$8:$K$13,4,FALSE)+F50*VLOOKUP("VoidGuard",'Monster'!$A$8:$K$13,4,FALSE)+G50*VLOOKUP("VoidBrute",'Monster'!$A$8:$K$13,4,FALSE)+H50*VLOOKUP("VoidGolem",'Monster'!$A$8:$K$13,4,FALSE)</x:f>
        <x:v>36910</x:v>
      </x:c>
    </x:row>
    <x:row r="51" ht="23" customHeight="1">
      <x:c r="A51" s="18" t="n">
        <x:v>44</x:v>
      </x:c>
      <x:c r="B51" s="14" t="str">
        <x:v>Normal</x:v>
      </x:c>
      <x:c r="C51" s="20" t="n">
        <x:v>216</x:v>
      </x:c>
      <x:c r="D51" s="20" t="n">
        <x:v>0</x:v>
      </x:c>
      <x:c r="E51" s="20" t="n">
        <x:v>115</x:v>
      </x:c>
      <x:c r="F51" s="20" t="n">
        <x:v>0</x:v>
      </x:c>
      <x:c r="G51" s="20" t="n">
        <x:v>0</x:v>
      </x:c>
      <x:c r="H51" s="20" t="n">
        <x:v>4</x:v>
      </x:c>
      <x:c r="I51" s="20" t="n">
        <x:f>SUM(C51:H51)</x:f>
        <x:v>335</x:v>
      </x:c>
      <x:c r="J51" s="20" t="n">
        <x:f>ROUND(($B$59+$E$59*(A51-1-INT((A51-1)/$H$59)))*IF(MOD(A51,$H$59)=0,$K$59,1),0)</x:f>
        <x:v>1850</x:v>
      </x:c>
      <x:c r="K51" s="20" t="n">
        <x:f>C51*VLOOKUP("Basic",'Monster'!$A$8:$K$13,6,FALSE)+D51*VLOOKUP("VoidHound",'Monster'!$A$8:$K$13,6,FALSE)+E51*VLOOKUP("VoidSentinel",'Monster'!$A$8:$K$13,6,FALSE)+F51*VLOOKUP("VoidGuard",'Monster'!$A$8:$K$13,6,FALSE)+G51*VLOOKUP("VoidBrute",'Monster'!$A$8:$K$13,6,FALSE)+H51*VLOOKUP("VoidGolem",'Monster'!$A$8:$K$13,6,FALSE)</x:f>
        <x:v>1850</x:v>
      </x:c>
      <x:c r="L51" s="20" t="n">
        <x:f>J51-K51</x:f>
        <x:v>0</x:v>
      </x:c>
      <x:c r="M51" s="43" t="n">
        <x:f>MAX($B$61,$E$60-MAX(0,A51-$H$60)*$K$60)</x:f>
        <x:v>0.36</x:v>
      </x:c>
      <x:c r="N51" s="20" t="n">
        <x:f>C51*VLOOKUP("Basic",'Monster'!$A$8:$K$13,4,FALSE)+D51*VLOOKUP("VoidHound",'Monster'!$A$8:$K$13,4,FALSE)+E51*VLOOKUP("VoidSentinel",'Monster'!$A$8:$K$13,4,FALSE)+F51*VLOOKUP("VoidGuard",'Monster'!$A$8:$K$13,4,FALSE)+G51*VLOOKUP("VoidBrute",'Monster'!$A$8:$K$13,4,FALSE)+H51*VLOOKUP("VoidGolem",'Monster'!$A$8:$K$13,4,FALSE)</x:f>
        <x:v>37320</x:v>
      </x:c>
    </x:row>
    <x:row r="52" ht="23" customHeight="1">
      <x:c r="A52" s="17" t="n">
        <x:v>45</x:v>
      </x:c>
      <x:c r="B52" s="3" t="str">
        <x:v>Milestone</x:v>
      </x:c>
      <x:c r="C52" s="19" t="n">
        <x:v>0</x:v>
      </x:c>
      <x:c r="D52" s="19" t="n">
        <x:v>0</x:v>
      </x:c>
      <x:c r="E52" s="19" t="n">
        <x:v>0</x:v>
      </x:c>
      <x:c r="F52" s="19" t="n">
        <x:v>0</x:v>
      </x:c>
      <x:c r="G52" s="19" t="n">
        <x:v>224</x:v>
      </x:c>
      <x:c r="H52" s="19" t="n">
        <x:v>2</x:v>
      </x:c>
      <x:c r="I52" s="19" t="n">
        <x:f>SUM(C52:H52)</x:f>
        <x:v>226</x:v>
      </x:c>
      <x:c r="J52" s="19" t="n">
        <x:f>ROUND(($B$59+$E$59*(A52-1-INT((A52-1)/$H$59)))*IF(MOD(A52,$H$59)=0,$K$59,1),0)</x:f>
        <x:v>2280</x:v>
      </x:c>
      <x:c r="K52" s="19" t="n">
        <x:f>C52*VLOOKUP("Basic",'Monster'!$A$8:$K$13,6,FALSE)+D52*VLOOKUP("VoidHound",'Monster'!$A$8:$K$13,6,FALSE)+E52*VLOOKUP("VoidSentinel",'Monster'!$A$8:$K$13,6,FALSE)+F52*VLOOKUP("VoidGuard",'Monster'!$A$8:$K$13,6,FALSE)+G52*VLOOKUP("VoidBrute",'Monster'!$A$8:$K$13,6,FALSE)+H52*VLOOKUP("VoidGolem",'Monster'!$A$8:$K$13,6,FALSE)</x:f>
        <x:v>2280</x:v>
      </x:c>
      <x:c r="L52" s="19" t="n">
        <x:f>J52-K52</x:f>
        <x:v>0</x:v>
      </x:c>
      <x:c r="M52" s="42" t="n">
        <x:f>MAX($B$61,$E$60-MAX(0,A52-$H$60)*$K$60)</x:f>
        <x:v>0.36</x:v>
      </x:c>
      <x:c r="N52" s="19" t="n">
        <x:f>C52*VLOOKUP("Basic",'Monster'!$A$8:$K$13,4,FALSE)+D52*VLOOKUP("VoidHound",'Monster'!$A$8:$K$13,4,FALSE)+E52*VLOOKUP("VoidSentinel",'Monster'!$A$8:$K$13,4,FALSE)+F52*VLOOKUP("VoidGuard",'Monster'!$A$8:$K$13,4,FALSE)+G52*VLOOKUP("VoidBrute",'Monster'!$A$8:$K$13,4,FALSE)+H52*VLOOKUP("VoidGolem",'Monster'!$A$8:$K$13,4,FALSE)</x:f>
        <x:v>50240</x:v>
      </x:c>
    </x:row>
    <x:row r="53" ht="23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</x:row>
    <x:row r="54" ht="23" customHeight="1">
      <x:c r="A54" s="44" t="str">
        <x:v>TOTAL</x:v>
      </x:c>
      <x:c r="B54" s="44"/>
      <x:c r="C54" s="46" t="n">
        <x:f>SUM(C8:C52)</x:f>
        <x:v>3085</x:v>
      </x:c>
      <x:c r="D54" s="46" t="n">
        <x:f>SUM(D8:D52)</x:f>
        <x:v>845</x:v>
      </x:c>
      <x:c r="E54" s="46" t="n">
        <x:f>SUM(E8:E52)</x:f>
        <x:v>1099</x:v>
      </x:c>
      <x:c r="F54" s="46" t="n">
        <x:f>SUM(F8:F52)</x:f>
        <x:v>1082</x:v>
      </x:c>
      <x:c r="G54" s="46" t="n">
        <x:f>SUM(G8:G52)</x:f>
        <x:v>973</x:v>
      </x:c>
      <x:c r="H54" s="46" t="n">
        <x:f>SUM(H8:H52)</x:f>
        <x:v>33</x:v>
      </x:c>
      <x:c r="I54" s="46" t="n">
        <x:f>SUM(I8:I52)</x:f>
        <x:v>7117</x:v>
      </x:c>
      <x:c r="J54" s="46" t="n">
        <x:f>SUM(J8:J52)</x:f>
        <x:v>46980</x:v>
      </x:c>
      <x:c r="K54" s="46" t="n">
        <x:f>SUM(K8:K52)</x:f>
        <x:v>46980</x:v>
      </x:c>
      <x:c r="L54" s="46" t="n">
        <x:f>SUM(L8:L52)</x:f>
        <x:v>0</x:v>
      </x:c>
      <x:c r="M54" s="46"/>
      <x:c r="N54" s="46" t="n">
        <x:f>SUM(N8:N52)</x:f>
        <x:v>883280</x:v>
      </x:c>
    </x:row>
    <x:row r="55" ht="23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</x:row>
    <x:row r="56" ht="23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</x:row>
    <x:row r="57" ht="23" customHeight="1">
      <x:c r="A57" s="25" t="str">
        <x:v>Aturan wave dari project</x:v>
      </x:c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</x:row>
    <x:row r="58" ht="23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</x:row>
    <x:row r="59" ht="31" customHeight="1">
      <x:c r="A59" s="28" t="str">
        <x:v>Budget awal</x:v>
      </x:c>
      <x:c r="B59" s="3" t="n">
        <x:v>100</x:v>
      </x:c>
      <x:c r="C59" s="3"/>
      <x:c r="D59" s="28" t="str">
        <x:v>Kenaikan budget</x:v>
      </x:c>
      <x:c r="E59" s="3" t="n">
        <x:v>50</x:v>
      </x:c>
      <x:c r="F59" s="3"/>
      <x:c r="G59" s="28" t="str">
        <x:v>Milestone tiap</x:v>
      </x:c>
      <x:c r="H59" s="3" t="n">
        <x:v>5</x:v>
      </x:c>
      <x:c r="I59" s="3"/>
      <x:c r="J59" s="28" t="str">
        <x:v>Milestone x</x:v>
      </x:c>
      <x:c r="K59" s="26" t="n">
        <x:v>1.2</x:v>
      </x:c>
      <x:c r="L59" s="3"/>
      <x:c r="M59" s="3"/>
      <x:c r="N59" s="3"/>
    </x:row>
    <x:row r="60" ht="31" customHeight="1">
      <x:c r="A60" s="28" t="str">
        <x:v>Wave terakhir</x:v>
      </x:c>
      <x:c r="B60" s="3" t="n">
        <x:v>45</x:v>
      </x:c>
      <x:c r="C60" s="3"/>
      <x:c r="D60" s="28" t="str">
        <x:v>Spawn dasar (s)</x:v>
      </x:c>
      <x:c r="E60" s="47" t="n">
        <x:v>0.9</x:v>
      </x:c>
      <x:c r="F60" s="3"/>
      <x:c r="G60" s="28" t="str">
        <x:v>Percepat setelah</x:v>
      </x:c>
      <x:c r="H60" s="3" t="n">
        <x:v>5</x:v>
      </x:c>
      <x:c r="I60" s="3"/>
      <x:c r="J60" s="28" t="str">
        <x:v>Reduksi spawn (s)</x:v>
      </x:c>
      <x:c r="K60" s="47" t="n">
        <x:v>0.015</x:v>
      </x:c>
      <x:c r="L60" s="3"/>
      <x:c r="M60" s="3"/>
      <x:c r="N60" s="3"/>
    </x:row>
    <x:row r="61" ht="31" customHeight="1">
      <x:c r="A61" s="28" t="str">
        <x:v>Spawn minimum (s)</x:v>
      </x:c>
      <x:c r="B61" s="47" t="n">
        <x:v>0.36</x:v>
      </x:c>
      <x:c r="C61" s="3"/>
      <x:c r="D61" s="28" t="str">
        <x:v>Seed</x:v>
      </x:c>
      <x:c r="E61" s="3" t="n">
        <x:v>177017</x:v>
      </x:c>
      <x:c r="F61" s="3"/>
      <x:c r="G61" s="28" t="str">
        <x:v>Gold awal</x:v>
      </x:c>
      <x:c r="H61" s="3" t="n">
        <x:v>650</x:v>
      </x:c>
      <x:c r="I61" s="3"/>
      <x:c r="J61" s="28" t="str">
        <x:v>Bonus wave</x:v>
      </x:c>
      <x:c r="K61" s="3" t="n">
        <x:v>0</x:v>
      </x:c>
      <x:c r="L61" s="3"/>
      <x:c r="M61" s="3"/>
      <x:c r="N61" s="3"/>
    </x:row>
    <x:row r="62" ht="23" customHeight="1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</x:row>
    <x:row r="63" ht="23" customHeight="1">
      <x:c r="A63" s="6" t="str">
        <x:v>Komposisi tetap untuk seed yang diekspor. Mengubah seed/budget di Excel tidak menjalankan ulang generator monster.</x:v>
      </x:c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</x:row>
    <x:row r="64" ht="23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</x:row>
  </x:sheetData>
  <x:conditionalFormatting sqref="B8:B52">
    <x:cfRule type="containsText" dxfId="0" priority="1" operator="containsText" text="Milestone"/>
  </x:conditionalFormatting>
  <x:conditionalFormatting sqref="H8:H52">
    <x:cfRule type="cellIs" dxfId="1" priority="2" operator="greaterThan">
      <x:formula>0</x:formula>
    </x:cfRule>
  </x:conditionalFormatting>
  <x:conditionalFormatting sqref="L8:L52">
    <x:cfRule type="cellIs" dxfId="2" priority="3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84f8fc621b34c0b"/>
  </x:tableParts>
</x:worksheet>
</file>

<file path=xl/worksheets/sheet2.xml><?xml version="1.0" encoding="utf-8"?>
<x:worksheet xmlns:x="http://schemas.openxmlformats.org/spreadsheetml/2006/main">
  <x:sheetPr>
    <x:tabColor rgb="FF765794"/>
  </x:sheetPr>
  <x:sheetViews>
    <x:sheetView showGridLines="0" workbookViewId="0"/>
  </x:sheetViews>
  <x:sheetFormatPr defaultRowHeight="15"/>
  <x:cols>
    <x:col min="1" max="1" width="16.25" hidden="0" customWidth="1"/>
    <x:col min="2" max="2" width="18.5" hidden="0" customWidth="1"/>
    <x:col min="3" max="3" width="10.5" hidden="0" customWidth="1"/>
    <x:col min="4" max="4" width="9.75" hidden="0" customWidth="1"/>
    <x:col min="5" max="5" width="12.5" hidden="0" customWidth="1"/>
    <x:col min="6" max="6" width="11.25" hidden="0" customWidth="1"/>
    <x:col min="7" max="7" width="10.75" hidden="0" customWidth="1"/>
    <x:col min="8" max="8" width="14.380000114440918" hidden="0" customWidth="1"/>
    <x:col min="9" max="9" width="10.630000114440918" hidden="0" customWidth="1"/>
    <x:col min="10" max="10" width="23.5" hidden="0" customWidth="1"/>
    <x:col min="11" max="11" width="12" hidden="0" customWidth="1"/>
  </x:cols>
  <x:sheetData>
    <x:row r="1" ht="23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0" customHeight="1">
      <x:c r="A2" s="5" t="str">
        <x:v>Statistik Monster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23" customHeight="1">
      <x:c r="A3" s="6" t="str">
        <x:v>HP, speed, armor dan Gold Reward tetap untuk semua wave. Speed/radius menggunakan logical pixels.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 ht="23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 ht="23" customHeight="1">
      <x:c r="A5" s="6" t="str">
        <x:v>Armor buff berlaku jika monster menerima Void Fortification. Common tidak memiliki skill aktif.</x:v>
      </x:c>
      <x:c r="B5" s="3"/>
      <x:c r="C5" s="3"/>
      <x:c r="D5" s="3"/>
      <x:c r="E5" s="3"/>
      <x:c r="F5" s="3"/>
      <x:c r="G5" s="3"/>
      <x:c r="H5" s="3"/>
      <x:c r="I5" s="3"/>
      <x:c r="J5" s="3"/>
      <x:c r="K5" s="3"/>
    </x:row>
    <x:row r="6" ht="23" customHeight="1">
      <x:c r="A6" s="6" t="str">
        <x:v>Sumber: game-scene.json, EnemyTypes dan VoidGolemConfig.Skill. ID Basic adalah Nova Wisp.</x:v>
      </x:c>
      <x:c r="B6" s="3"/>
      <x:c r="C6" s="3"/>
      <x:c r="D6" s="3"/>
      <x:c r="E6" s="3"/>
      <x:c r="F6" s="3"/>
      <x:c r="G6" s="3"/>
      <x:c r="H6" s="3"/>
      <x:c r="I6" s="3"/>
      <x:c r="J6" s="3"/>
      <x:c r="K6" s="3"/>
    </x:row>
    <x:row r="7" ht="40" customHeight="1">
      <x:c r="A7" s="11" t="str">
        <x:v>ID Monster</x:v>
      </x:c>
      <x:c r="B7" s="12" t="str">
        <x:v>Nama</x:v>
      </x:c>
      <x:c r="C7" s="12" t="str">
        <x:v>Kelas</x:v>
      </x:c>
      <x:c r="D7" s="12" t="str">
        <x:v>HP</x:v>
      </x:c>
      <x:c r="E7" s="12" t="str">
        <x:v>Speed (px/s)</x:v>
      </x:c>
      <x:c r="F7" s="12" t="str">
        <x:v>Reward (Gold)</x:v>
      </x:c>
      <x:c r="G7" s="12" t="str">
        <x:v>Armor dasar</x:v>
      </x:c>
      <x:c r="H7" s="12" t="str">
        <x:v>Armor saat buff</x:v>
      </x:c>
      <x:c r="I7" s="12" t="str">
        <x:v>Unlock wave</x:v>
      </x:c>
      <x:c r="J7" s="12" t="str">
        <x:v>Skill aktif</x:v>
      </x:c>
      <x:c r="K7" s="13" t="str">
        <x:v>Damage Base</x:v>
      </x:c>
    </x:row>
    <x:row r="8" ht="30" customHeight="1">
      <x:c r="A8" s="3" t="str">
        <x:v>Basic</x:v>
      </x:c>
      <x:c r="B8" s="3" t="str">
        <x:v>Nova Wisp</x:v>
      </x:c>
      <x:c r="C8" s="3" t="str">
        <x:v>Common</x:v>
      </x:c>
      <x:c r="D8" s="19" t="n">
        <x:v>100</x:v>
      </x:c>
      <x:c r="E8" s="19" t="n">
        <x:v>80</x:v>
      </x:c>
      <x:c r="F8" s="19" t="n">
        <x:v>5</x:v>
      </x:c>
      <x:c r="G8" s="19" t="n">
        <x:v>0</x:v>
      </x:c>
      <x:c r="H8" s="19" t="n">
        <x:f>G8+$B$19</x:f>
        <x:v>10</x:v>
      </x:c>
      <x:c r="I8" s="23" t="n">
        <x:v>1</x:v>
      </x:c>
      <x:c r="J8" s="3" t="str">
        <x:v>Tidak ada</x:v>
      </x:c>
      <x:c r="K8" s="21" t="n">
        <x:v>1</x:v>
      </x:c>
    </x:row>
    <x:row r="9" ht="30" customHeight="1">
      <x:c r="A9" s="14" t="str">
        <x:v>VoidHound</x:v>
      </x:c>
      <x:c r="B9" s="14" t="str">
        <x:v>Void Hound</x:v>
      </x:c>
      <x:c r="C9" s="14" t="str">
        <x:v>Common</x:v>
      </x:c>
      <x:c r="D9" s="20" t="n">
        <x:v>60</x:v>
      </x:c>
      <x:c r="E9" s="20" t="n">
        <x:v>135</x:v>
      </x:c>
      <x:c r="F9" s="20" t="n">
        <x:v>7</x:v>
      </x:c>
      <x:c r="G9" s="20" t="n">
        <x:v>0</x:v>
      </x:c>
      <x:c r="H9" s="20" t="n">
        <x:f>G9+$B$19</x:f>
        <x:v>10</x:v>
      </x:c>
      <x:c r="I9" s="24" t="n">
        <x:v>4</x:v>
      </x:c>
      <x:c r="J9" s="14" t="str">
        <x:v>Tidak ada</x:v>
      </x:c>
      <x:c r="K9" s="22" t="n">
        <x:v>1</x:v>
      </x:c>
    </x:row>
    <x:row r="10" ht="30" customHeight="1">
      <x:c r="A10" s="3" t="str">
        <x:v>VoidSentinel</x:v>
      </x:c>
      <x:c r="B10" s="3" t="str">
        <x:v>Void Sentinel</x:v>
      </x:c>
      <x:c r="C10" s="3" t="str">
        <x:v>Common</x:v>
      </x:c>
      <x:c r="D10" s="19" t="n">
        <x:v>120</x:v>
      </x:c>
      <x:c r="E10" s="19" t="n">
        <x:v>85</x:v>
      </x:c>
      <x:c r="F10" s="19" t="n">
        <x:v>6</x:v>
      </x:c>
      <x:c r="G10" s="19" t="n">
        <x:v>0</x:v>
      </x:c>
      <x:c r="H10" s="19" t="n">
        <x:f>G10+$B$19</x:f>
        <x:v>10</x:v>
      </x:c>
      <x:c r="I10" s="23" t="n">
        <x:v>5</x:v>
      </x:c>
      <x:c r="J10" s="3" t="str">
        <x:v>Tidak ada</x:v>
      </x:c>
      <x:c r="K10" s="21" t="n">
        <x:v>1</x:v>
      </x:c>
    </x:row>
    <x:row r="11" ht="30" customHeight="1">
      <x:c r="A11" s="14" t="str">
        <x:v>VoidGuard</x:v>
      </x:c>
      <x:c r="B11" s="14" t="str">
        <x:v>Void Guard</x:v>
      </x:c>
      <x:c r="C11" s="14" t="str">
        <x:v>Common</x:v>
      </x:c>
      <x:c r="D11" s="20" t="n">
        <x:v>150</x:v>
      </x:c>
      <x:c r="E11" s="20" t="n">
        <x:v>70</x:v>
      </x:c>
      <x:c r="F11" s="20" t="n">
        <x:v>8</x:v>
      </x:c>
      <x:c r="G11" s="20" t="n">
        <x:v>10</x:v>
      </x:c>
      <x:c r="H11" s="20" t="n">
        <x:f>G11+$B$19</x:f>
        <x:v>20</x:v>
      </x:c>
      <x:c r="I11" s="24" t="n">
        <x:v>6</x:v>
      </x:c>
      <x:c r="J11" s="14" t="str">
        <x:v>Tidak ada</x:v>
      </x:c>
      <x:c r="K11" s="22" t="n">
        <x:v>1</x:v>
      </x:c>
    </x:row>
    <x:row r="12" ht="30" customHeight="1">
      <x:c r="A12" s="3" t="str">
        <x:v>VoidBrute</x:v>
      </x:c>
      <x:c r="B12" s="3" t="str">
        <x:v>Void Brute</x:v>
      </x:c>
      <x:c r="C12" s="3" t="str">
        <x:v>Common</x:v>
      </x:c>
      <x:c r="D12" s="19" t="n">
        <x:v>220</x:v>
      </x:c>
      <x:c r="E12" s="19" t="n">
        <x:v>60</x:v>
      </x:c>
      <x:c r="F12" s="19" t="n">
        <x:v>10</x:v>
      </x:c>
      <x:c r="G12" s="19" t="n">
        <x:v>15</x:v>
      </x:c>
      <x:c r="H12" s="19" t="n">
        <x:f>G12+$B$19</x:f>
        <x:v>25</x:v>
      </x:c>
      <x:c r="I12" s="23" t="n">
        <x:v>7</x:v>
      </x:c>
      <x:c r="J12" s="3" t="str">
        <x:v>Tidak ada</x:v>
      </x:c>
      <x:c r="K12" s="21" t="n">
        <x:v>1</x:v>
      </x:c>
    </x:row>
    <x:row r="13" ht="30" customHeight="1">
      <x:c r="A13" s="14" t="str">
        <x:v>VoidGolem</x:v>
      </x:c>
      <x:c r="B13" s="14" t="str">
        <x:v>Void Golem</x:v>
      </x:c>
      <x:c r="C13" s="14" t="str">
        <x:v>Elite</x:v>
      </x:c>
      <x:c r="D13" s="20" t="n">
        <x:v>480</x:v>
      </x:c>
      <x:c r="E13" s="20" t="n">
        <x:v>50</x:v>
      </x:c>
      <x:c r="F13" s="20" t="n">
        <x:v>20</x:v>
      </x:c>
      <x:c r="G13" s="20" t="n">
        <x:v>25</x:v>
      </x:c>
      <x:c r="H13" s="20" t="n">
        <x:f>G13+$B$19</x:f>
        <x:v>35</x:v>
      </x:c>
      <x:c r="I13" s="24" t="n">
        <x:v>12</x:v>
      </x:c>
      <x:c r="J13" s="14" t="str">
        <x:v>Void Fortification</x:v>
      </x:c>
      <x:c r="K13" s="22" t="n">
        <x:v>1</x:v>
      </x:c>
    </x:row>
    <x:row r="14" ht="23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</x:row>
    <x:row r="15" ht="23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 ht="23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</x:row>
    <x:row r="17" ht="23" customHeight="1">
      <x:c r="A17" s="25" t="str">
        <x:v>Void Fortification</x:v>
      </x:c>
      <x:c r="B17" s="25"/>
      <x:c r="C17" s="25"/>
      <x:c r="D17" s="25"/>
      <x:c r="E17" s="25"/>
      <x:c r="F17" s="25"/>
      <x:c r="G17" s="25"/>
      <x:c r="H17" s="25"/>
      <x:c r="I17" s="25"/>
      <x:c r="J17" s="25"/>
      <x:c r="K17" s="25"/>
    </x:row>
    <x:row r="18" ht="23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</x:row>
    <x:row r="19" ht="31" customHeight="1">
      <x:c r="A19" s="3" t="str">
        <x:v>Bonus armor</x:v>
      </x:c>
      <x:c r="B19" s="27" t="n">
        <x:v>10</x:v>
      </x:c>
      <x:c r="C19" s="3"/>
      <x:c r="D19" s="28" t="str">
        <x:v>Durasi (detik)</x:v>
      </x:c>
      <x:c r="E19" s="27" t="n">
        <x:v>10</x:v>
      </x:c>
      <x:c r="F19" s="3"/>
      <x:c r="G19" s="28" t="str">
        <x:v>Cooldown (detik)</x:v>
      </x:c>
      <x:c r="H19" s="27" t="n">
        <x:v>25</x:v>
      </x:c>
      <x:c r="I19" s="3"/>
      <x:c r="J19" s="3"/>
      <x:c r="K19" s="3"/>
    </x:row>
    <x:row r="20" ht="31" customHeight="1">
      <x:c r="A20" s="3" t="str">
        <x:v>Cast (detik)</x:v>
      </x:c>
      <x:c r="B20" s="27" t="n">
        <x:v>0.8</x:v>
      </x:c>
      <x:c r="C20" s="3"/>
      <x:c r="D20" s="28" t="str">
        <x:v>Release (detik)</x:v>
      </x:c>
      <x:c r="E20" s="27" t="n">
        <x:v>0.6</x:v>
      </x:c>
      <x:c r="F20" s="3"/>
      <x:c r="G20" s="28" t="str">
        <x:v>Radius (px)</x:v>
      </x:c>
      <x:c r="H20" s="27" t="n">
        <x:v>100</x:v>
      </x:c>
      <x:c r="I20" s="3"/>
      <x:c r="J20" s="3"/>
      <x:c r="K20" s="3"/>
    </x:row>
    <x:row r="21" ht="23" customHeight="1">
      <x:c r="A21" s="3" t="str">
        <x:v>Damage skill</x:v>
      </x:c>
      <x:c r="B21" s="27" t="n">
        <x:v>0</x:v>
      </x:c>
      <x:c r="C21" s="3"/>
      <x:c r="D21" s="3"/>
      <x:c r="E21" s="3"/>
      <x:c r="F21" s="3"/>
      <x:c r="G21" s="3"/>
      <x:c r="H21" s="3"/>
      <x:c r="I21" s="3"/>
      <x:c r="J21" s="3"/>
      <x:c r="K21" s="3"/>
    </x:row>
    <x:row r="22" ht="23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</x:row>
    <x:row r="23" ht="23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</x:row>
    <x:row r="24" ht="23" customHeight="1">
      <x:c r="A24" s="6" t="str">
        <x:v>Cast berhenti 0,8 detik. Buff diberikan pada 0,6 detik kepada self dan ally dalam radius 100 px.</x:v>
      </x:c>
      <x:c r="B24" s="3"/>
      <x:c r="C24" s="3"/>
      <x:c r="D24" s="3"/>
      <x:c r="E24" s="3"/>
      <x:c r="F24" s="3"/>
      <x:c r="G24" s="3"/>
      <x:c r="H24" s="3"/>
      <x:c r="I24" s="3"/>
      <x:c r="J24" s="3"/>
      <x:c r="K24" s="3"/>
    </x:row>
    <x:row r="25" ht="23" customHeight="1">
      <x:c r="A25" s="6" t="str">
        <x:v>Bonus armor tidak menumpuk. Cast berikutnya memperbarui durasi buff menjadi 10 detik.</x:v>
      </x:c>
      <x:c r="B25" s="3"/>
      <x:c r="C25" s="3"/>
      <x:c r="D25" s="3"/>
      <x:c r="E25" s="3"/>
      <x:c r="F25" s="3"/>
      <x:c r="G25" s="3"/>
      <x:c r="H25" s="3"/>
      <x:c r="I25" s="3"/>
      <x:c r="J25" s="3"/>
      <x:c r="K25" s="3"/>
    </x:row>
    <x:row r="26" ht="23" customHeight="1">
      <x:c r="A26" s="6" t="str">
        <x:v>Damage Base = 1 nyawa saat monster mencapai Base. Sumber: event path/base pada game-scene.json.</x:v>
      </x:c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23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</x:row>
    <x:row r="28" ht="23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</x:row>
    <x:row r="29" ht="23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</x:row>
  </x:sheetData>
  <x:pageMargins left="0.7" right="0.7" top="0.75" bottom="0.75" header="0.3" footer="0.3"/>
  <x:tableParts count="1">
    <x:tablePart xmlns:r="http://schemas.openxmlformats.org/officeDocument/2006/relationships" r:id="Reac38fd1efc149a3"/>
  </x:tableParts>
</x:worksheet>
</file>

<file path=xl/worksheets/sheet3.xml><?xml version="1.0" encoding="utf-8"?>
<x:worksheet xmlns:x="http://schemas.openxmlformats.org/spreadsheetml/2006/main">
  <x:sheetPr>
    <x:tabColor rgb="FF4B2D73"/>
  </x:sheetPr>
  <x:sheetViews>
    <x:sheetView showGridLines="0" workbookViewId="0"/>
  </x:sheetViews>
  <x:sheetFormatPr defaultRowHeight="15"/>
  <x:cols>
    <x:col min="1" max="1" width="15" hidden="0" customWidth="1"/>
    <x:col min="2" max="2" width="11.630000114440918" hidden="0" customWidth="1"/>
    <x:col min="3" max="3" width="13.630000114440918" hidden="0" customWidth="1"/>
    <x:col min="4" max="4" width="13.25" hidden="0" customWidth="1"/>
    <x:col min="5" max="5" width="14.130000114440918" hidden="0" customWidth="1"/>
    <x:col min="6" max="6" width="13.880000114440918" hidden="0" customWidth="1"/>
    <x:col min="7" max="7" width="14.130000114440918" hidden="0" customWidth="1"/>
    <x:col min="8" max="8" width="12.5" hidden="0" customWidth="1"/>
    <x:col min="9" max="9" width="12.130000114440918" hidden="0" customWidth="1"/>
    <x:col min="10" max="10" width="13.75" hidden="0" customWidth="1"/>
    <x:col min="11" max="11" width="14.25" hidden="0" customWidth="1"/>
    <x:col min="12" max="12" width="15.25" hidden="0" customWidth="1"/>
    <x:col min="13" max="13" width="15.25" hidden="0" customWidth="1"/>
    <x:col min="14" max="14" width="15.25" hidden="0" customWidth="1"/>
    <x:col min="15" max="15" width="14.380000114440918" hidden="0" customWidth="1"/>
  </x:cols>
  <x:sheetData>
    <x:row r="1" ht="23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0" customHeight="1">
      <x:c r="A2" s="5" t="str">
        <x:v>Statistik Tower dan Kombinasi Upgrade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 ht="23" customHeight="1">
      <x:c r="A3" s="6" t="str">
        <x:v>Star Cannon adalah satu-satunya tower yang tersedia. Range/speed projectile menggunakan logical pixels.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4" ht="23" customHeight="1">
      <x:c r="A4" s="6" t="str">
        <x:v>Sumber: StarCannonConfig, TowerShopCatalog, SellRefundRate dan rumus star.stats pada project aktif.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</x:row>
    <x:row r="5" ht="40" customHeight="1">
      <x:c r="A5" s="11" t="str">
        <x:v>Tower</x:v>
      </x:c>
      <x:c r="B5" s="12" t="str">
        <x:v>Harga (Gold)</x:v>
      </x:c>
      <x:c r="C5" s="12" t="str">
        <x:v>Base damage</x:v>
      </x:c>
      <x:c r="D5" s="12" t="str">
        <x:v>Base range</x:v>
      </x:c>
      <x:c r="E5" s="12" t="str">
        <x:v>Base interval (s)</x:v>
      </x:c>
      <x:c r="F5" s="12" t="str">
        <x:v>Speed projectile</x:v>
      </x:c>
      <x:c r="G5" s="12" t="str">
        <x:v>Awal shot</x:v>
      </x:c>
      <x:c r="H5" s="12" t="str">
        <x:v>Min damage</x:v>
      </x:c>
      <x:c r="I5" s="12" t="str">
        <x:v>Sell refund</x:v>
      </x:c>
      <x:c r="J5" s="13" t="str">
        <x:v>Footprint radius</x:v>
      </x:c>
      <x:c r="K5" s="3"/>
      <x:c r="L5" s="3"/>
      <x:c r="M5" s="3"/>
      <x:c r="N5" s="3"/>
      <x:c r="O5" s="3"/>
    </x:row>
    <x:row r="6" ht="23" customHeight="1">
      <x:c r="A6" s="3" t="str">
        <x:v>Star Cannon</x:v>
      </x:c>
      <x:c r="B6" s="19" t="n">
        <x:v>300</x:v>
      </x:c>
      <x:c r="C6" s="19" t="n">
        <x:v>50</x:v>
      </x:c>
      <x:c r="D6" s="19" t="n">
        <x:v>210</x:v>
      </x:c>
      <x:c r="E6" s="38" t="n">
        <x:v>0.9</x:v>
      </x:c>
      <x:c r="F6" s="32" t="n">
        <x:v>520</x:v>
      </x:c>
      <x:c r="G6" s="32" t="n">
        <x:v>1</x:v>
      </x:c>
      <x:c r="H6" s="32" t="n">
        <x:v>1</x:v>
      </x:c>
      <x:c r="I6" s="39" t="n">
        <x:v>0.7</x:v>
      </x:c>
      <x:c r="J6" s="32" t="n">
        <x:v>46</x:v>
      </x:c>
      <x:c r="K6" s="3"/>
      <x:c r="L6" s="3"/>
      <x:c r="M6" s="3"/>
      <x:c r="N6" s="3"/>
      <x:c r="O6" s="3"/>
    </x:row>
    <x:row r="7" ht="23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</x:row>
    <x:row r="8" ht="23" customHeight="1">
      <x:c r="A8" s="6" t="str">
        <x:v>DPS = damage langsung per detik. Perhitungan mengabaikan splash, travel, rotasi, range downtime dan overkill.</x:v>
      </x:c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</x:row>
    <x:row r="9" ht="23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</x:row>
    <x:row r="10" ht="40" customHeight="1">
      <x:c r="A10" s="11" t="str">
        <x:v>Build</x:v>
      </x:c>
      <x:c r="B10" s="12" t="str">
        <x:v>Path 1</x:v>
      </x:c>
      <x:c r="C10" s="12" t="str">
        <x:v>Path 2</x:v>
      </x:c>
      <x:c r="D10" s="12" t="str">
        <x:v>Damage sebelum fraksi</x:v>
      </x:c>
      <x:c r="E10" s="12" t="str">
        <x:v>Jumlah projectile</x:v>
      </x:c>
      <x:c r="F10" s="12" t="str">
        <x:v>Damage / projectile</x:v>
      </x:c>
      <x:c r="G10" s="12" t="str">
        <x:v>Interval (s)</x:v>
      </x:c>
      <x:c r="H10" s="12" t="str">
        <x:v>Range (px)</x:v>
      </x:c>
      <x:c r="I10" s="12" t="str">
        <x:v>Splash %</x:v>
      </x:c>
      <x:c r="J10" s="12" t="str">
        <x:v>Splash radius</x:v>
      </x:c>
      <x:c r="K10" s="12" t="str">
        <x:v>DPS armor 0</x:v>
      </x:c>
      <x:c r="L10" s="12" t="str">
        <x:v>DPS Golem armor 25</x:v>
      </x:c>
      <x:c r="M10" s="12" t="str">
        <x:v>DPS Golem armor 35</x:v>
      </x:c>
      <x:c r="N10" s="12" t="str">
        <x:v>Investasi (Gold)</x:v>
      </x:c>
      <x:c r="O10" s="13" t="str">
        <x:v>Sell (Gold)</x:v>
      </x:c>
    </x:row>
    <x:row r="11" ht="23" customHeight="1">
      <x:c r="A11" s="3" t="str">
        <x:v>0-0</x:v>
      </x:c>
      <x:c r="B11" s="32" t="n">
        <x:v>0</x:v>
      </x:c>
      <x:c r="C11" s="32" t="n">
        <x:v>0</x:v>
      </x:c>
      <x:c r="D11" s="38" t="n">
        <x:f>$C$6*VLOOKUP(B11,'Upgrade'!$A$22:$K$26,2,FALSE)</x:f>
        <x:v>50</x:v>
      </x:c>
      <x:c r="E11" s="32" t="n">
        <x:f>VLOOKUP(C11,'Upgrade'!$A$22:$K$26,6,FALSE)</x:f>
        <x:v>1</x:v>
      </x:c>
      <x:c r="F11" s="38" t="n">
        <x:f>D11*VLOOKUP(C11,'Upgrade'!$A$22:$K$26,7,FALSE)</x:f>
        <x:v>50</x:v>
      </x:c>
      <x:c r="G11" s="38" t="n">
        <x:f>$E$6/VLOOKUP(C11,'Upgrade'!$A$22:$K$26,3,FALSE)</x:f>
        <x:v>0.9</x:v>
      </x:c>
      <x:c r="H11" s="38" t="n">
        <x:f>$D$6*VLOOKUP(B11,'Upgrade'!$A$22:$K$26,4,FALSE)*VLOOKUP(C11,'Upgrade'!$A$22:$K$26,5,FALSE)</x:f>
        <x:v>210</x:v>
      </x:c>
      <x:c r="I11" s="39" t="n">
        <x:f>VLOOKUP(B11,'Upgrade'!$A$22:$K$26,8,FALSE)</x:f>
        <x:v>0</x:v>
      </x:c>
      <x:c r="J11" s="32" t="n">
        <x:f>VLOOKUP(B11,'Upgrade'!$A$22:$K$26,9,FALSE)</x:f>
        <x:v>0</x:v>
      </x:c>
      <x:c r="K11" s="38" t="n">
        <x:f>F11*E11/G11</x:f>
        <x:v>55.55555555555556</x:v>
      </x:c>
      <x:c r="L11" s="38" t="n">
        <x:f>MAX($H$6,F11-VLOOKUP("VoidGolem",'Monster'!$A$8:$K$13,7,FALSE))*E11/G11</x:f>
        <x:v>27.77777777777778</x:v>
      </x:c>
      <x:c r="M11" s="38" t="n">
        <x:f>MAX($H$6,F11-VLOOKUP("VoidGolem",'Monster'!$A$8:$K$13,8,FALSE))*E11/G11</x:f>
        <x:v>16.666666666666668</x:v>
      </x:c>
      <x:c r="N11" s="19" t="n">
        <x:f>$B$6+VLOOKUP(B11,'Upgrade'!$A$22:$K$26,10,FALSE)+VLOOKUP(C11,'Upgrade'!$A$22:$K$26,11,FALSE)</x:f>
        <x:v>300</x:v>
      </x:c>
      <x:c r="O11" s="19" t="n">
        <x:f>ROUNDDOWN(N11*$I$6+0.00000001,0)</x:f>
        <x:v>210</x:v>
      </x:c>
    </x:row>
    <x:row r="12" ht="23" customHeight="1">
      <x:c r="A12" s="14" t="str">
        <x:v>0-1</x:v>
      </x:c>
      <x:c r="B12" s="33" t="n">
        <x:v>0</x:v>
      </x:c>
      <x:c r="C12" s="33" t="n">
        <x:v>1</x:v>
      </x:c>
      <x:c r="D12" s="40" t="n">
        <x:f>$C$6*VLOOKUP(B12,'Upgrade'!$A$22:$K$26,2,FALSE)</x:f>
        <x:v>50</x:v>
      </x:c>
      <x:c r="E12" s="33" t="n">
        <x:f>VLOOKUP(C12,'Upgrade'!$A$22:$K$26,6,FALSE)</x:f>
        <x:v>1</x:v>
      </x:c>
      <x:c r="F12" s="40" t="n">
        <x:f>D12*VLOOKUP(C12,'Upgrade'!$A$22:$K$26,7,FALSE)</x:f>
        <x:v>50</x:v>
      </x:c>
      <x:c r="G12" s="40" t="n">
        <x:f>$E$6/VLOOKUP(C12,'Upgrade'!$A$22:$K$26,3,FALSE)</x:f>
        <x:v>0.8181818181818181</x:v>
      </x:c>
      <x:c r="H12" s="40" t="n">
        <x:f>$D$6*VLOOKUP(B12,'Upgrade'!$A$22:$K$26,4,FALSE)*VLOOKUP(C12,'Upgrade'!$A$22:$K$26,5,FALSE)</x:f>
        <x:v>210</x:v>
      </x:c>
      <x:c r="I12" s="41" t="n">
        <x:f>VLOOKUP(B12,'Upgrade'!$A$22:$K$26,8,FALSE)</x:f>
        <x:v>0</x:v>
      </x:c>
      <x:c r="J12" s="33" t="n">
        <x:f>VLOOKUP(B12,'Upgrade'!$A$22:$K$26,9,FALSE)</x:f>
        <x:v>0</x:v>
      </x:c>
      <x:c r="K12" s="40" t="n">
        <x:f>F12*E12/G12</x:f>
        <x:v>61.111111111111114</x:v>
      </x:c>
      <x:c r="L12" s="40" t="n">
        <x:f>MAX($H$6,F12-VLOOKUP("VoidGolem",'Monster'!$A$8:$K$13,7,FALSE))*E12/G12</x:f>
        <x:v>30.555555555555557</x:v>
      </x:c>
      <x:c r="M12" s="40" t="n">
        <x:f>MAX($H$6,F12-VLOOKUP("VoidGolem",'Monster'!$A$8:$K$13,8,FALSE))*E12/G12</x:f>
        <x:v>18.333333333333336</x:v>
      </x:c>
      <x:c r="N12" s="20" t="n">
        <x:f>$B$6+VLOOKUP(B12,'Upgrade'!$A$22:$K$26,10,FALSE)+VLOOKUP(C12,'Upgrade'!$A$22:$K$26,11,FALSE)</x:f>
        <x:v>430</x:v>
      </x:c>
      <x:c r="O12" s="20" t="n">
        <x:f>ROUNDDOWN(N12*$I$6+0.00000001,0)</x:f>
        <x:v>301</x:v>
      </x:c>
    </x:row>
    <x:row r="13" ht="23" customHeight="1">
      <x:c r="A13" s="3" t="str">
        <x:v>0-2</x:v>
      </x:c>
      <x:c r="B13" s="32" t="n">
        <x:v>0</x:v>
      </x:c>
      <x:c r="C13" s="32" t="n">
        <x:v>2</x:v>
      </x:c>
      <x:c r="D13" s="38" t="n">
        <x:f>$C$6*VLOOKUP(B13,'Upgrade'!$A$22:$K$26,2,FALSE)</x:f>
        <x:v>50</x:v>
      </x:c>
      <x:c r="E13" s="32" t="n">
        <x:f>VLOOKUP(C13,'Upgrade'!$A$22:$K$26,6,FALSE)</x:f>
        <x:v>1</x:v>
      </x:c>
      <x:c r="F13" s="38" t="n">
        <x:f>D13*VLOOKUP(C13,'Upgrade'!$A$22:$K$26,7,FALSE)</x:f>
        <x:v>50</x:v>
      </x:c>
      <x:c r="G13" s="38" t="n">
        <x:f>$E$6/VLOOKUP(C13,'Upgrade'!$A$22:$K$26,3,FALSE)</x:f>
        <x:v>0.7377049180327869</x:v>
      </x:c>
      <x:c r="H13" s="38" t="n">
        <x:f>$D$6*VLOOKUP(B13,'Upgrade'!$A$22:$K$26,4,FALSE)*VLOOKUP(C13,'Upgrade'!$A$22:$K$26,5,FALSE)</x:f>
        <x:v>218.4</x:v>
      </x:c>
      <x:c r="I13" s="39" t="n">
        <x:f>VLOOKUP(B13,'Upgrade'!$A$22:$K$26,8,FALSE)</x:f>
        <x:v>0</x:v>
      </x:c>
      <x:c r="J13" s="32" t="n">
        <x:f>VLOOKUP(B13,'Upgrade'!$A$22:$K$26,9,FALSE)</x:f>
        <x:v>0</x:v>
      </x:c>
      <x:c r="K13" s="38" t="n">
        <x:f>F13*E13/G13</x:f>
        <x:v>67.77777777777777</x:v>
      </x:c>
      <x:c r="L13" s="38" t="n">
        <x:f>MAX($H$6,F13-VLOOKUP("VoidGolem",'Monster'!$A$8:$K$13,7,FALSE))*E13/G13</x:f>
        <x:v>33.888888888888886</x:v>
      </x:c>
      <x:c r="M13" s="38" t="n">
        <x:f>MAX($H$6,F13-VLOOKUP("VoidGolem",'Monster'!$A$8:$K$13,8,FALSE))*E13/G13</x:f>
        <x:v>20.333333333333332</x:v>
      </x:c>
      <x:c r="N13" s="19" t="n">
        <x:f>$B$6+VLOOKUP(B13,'Upgrade'!$A$22:$K$26,10,FALSE)+VLOOKUP(C13,'Upgrade'!$A$22:$K$26,11,FALSE)</x:f>
        <x:v>710</x:v>
      </x:c>
      <x:c r="O13" s="19" t="n">
        <x:f>ROUNDDOWN(N13*$I$6+0.00000001,0)</x:f>
        <x:v>497</x:v>
      </x:c>
    </x:row>
    <x:row r="14" ht="23" customHeight="1">
      <x:c r="A14" s="14" t="str">
        <x:v>0-3</x:v>
      </x:c>
      <x:c r="B14" s="33" t="n">
        <x:v>0</x:v>
      </x:c>
      <x:c r="C14" s="33" t="n">
        <x:v>3</x:v>
      </x:c>
      <x:c r="D14" s="40" t="n">
        <x:f>$C$6*VLOOKUP(B14,'Upgrade'!$A$22:$K$26,2,FALSE)</x:f>
        <x:v>50</x:v>
      </x:c>
      <x:c r="E14" s="33" t="n">
        <x:f>VLOOKUP(C14,'Upgrade'!$A$22:$K$26,6,FALSE)</x:f>
        <x:v>2</x:v>
      </x:c>
      <x:c r="F14" s="40" t="n">
        <x:f>D14*VLOOKUP(C14,'Upgrade'!$A$22:$K$26,7,FALSE)</x:f>
        <x:v>31</x:v>
      </x:c>
      <x:c r="G14" s="40" t="n">
        <x:f>$E$6/VLOOKUP(C14,'Upgrade'!$A$22:$K$26,3,FALSE)</x:f>
        <x:v>0.7377049180327869</x:v>
      </x:c>
      <x:c r="H14" s="40" t="n">
        <x:f>$D$6*VLOOKUP(B14,'Upgrade'!$A$22:$K$26,4,FALSE)*VLOOKUP(C14,'Upgrade'!$A$22:$K$26,5,FALSE)</x:f>
        <x:v>218.4</x:v>
      </x:c>
      <x:c r="I14" s="41" t="n">
        <x:f>VLOOKUP(B14,'Upgrade'!$A$22:$K$26,8,FALSE)</x:f>
        <x:v>0</x:v>
      </x:c>
      <x:c r="J14" s="33" t="n">
        <x:f>VLOOKUP(B14,'Upgrade'!$A$22:$K$26,9,FALSE)</x:f>
        <x:v>0</x:v>
      </x:c>
      <x:c r="K14" s="40" t="n">
        <x:f>F14*E14/G14</x:f>
        <x:v>84.04444444444444</x:v>
      </x:c>
      <x:c r="L14" s="40" t="n">
        <x:f>MAX($H$6,F14-VLOOKUP("VoidGolem",'Monster'!$A$8:$K$13,7,FALSE))*E14/G14</x:f>
        <x:v>16.266666666666666</x:v>
      </x:c>
      <x:c r="M14" s="40" t="n">
        <x:f>MAX($H$6,F14-VLOOKUP("VoidGolem",'Monster'!$A$8:$K$13,8,FALSE))*E14/G14</x:f>
        <x:v>2.711111111111111</x:v>
      </x:c>
      <x:c r="N14" s="20" t="n">
        <x:f>$B$6+VLOOKUP(B14,'Upgrade'!$A$22:$K$26,10,FALSE)+VLOOKUP(C14,'Upgrade'!$A$22:$K$26,11,FALSE)</x:f>
        <x:v>1710</x:v>
      </x:c>
      <x:c r="O14" s="20" t="n">
        <x:f>ROUNDDOWN(N14*$I$6+0.00000001,0)</x:f>
        <x:v>1197</x:v>
      </x:c>
    </x:row>
    <x:row r="15" ht="23" customHeight="1">
      <x:c r="A15" s="3" t="str">
        <x:v>0-4</x:v>
      </x:c>
      <x:c r="B15" s="32" t="n">
        <x:v>0</x:v>
      </x:c>
      <x:c r="C15" s="32" t="n">
        <x:v>4</x:v>
      </x:c>
      <x:c r="D15" s="38" t="n">
        <x:f>$C$6*VLOOKUP(B15,'Upgrade'!$A$22:$K$26,2,FALSE)</x:f>
        <x:v>50</x:v>
      </x:c>
      <x:c r="E15" s="32" t="n">
        <x:f>VLOOKUP(C15,'Upgrade'!$A$22:$K$26,6,FALSE)</x:f>
        <x:v>3</x:v>
      </x:c>
      <x:c r="F15" s="38" t="n">
        <x:f>D15*VLOOKUP(C15,'Upgrade'!$A$22:$K$26,7,FALSE)</x:f>
        <x:v>28.000000000000004</x:v>
      </x:c>
      <x:c r="G15" s="38" t="n">
        <x:f>$E$6/VLOOKUP(C15,'Upgrade'!$A$22:$K$26,3,FALSE)</x:f>
        <x:v>0.7377049180327869</x:v>
      </x:c>
      <x:c r="H15" s="38" t="n">
        <x:f>$D$6*VLOOKUP(B15,'Upgrade'!$A$22:$K$26,4,FALSE)*VLOOKUP(C15,'Upgrade'!$A$22:$K$26,5,FALSE)</x:f>
        <x:v>218.4</x:v>
      </x:c>
      <x:c r="I15" s="39" t="n">
        <x:f>VLOOKUP(B15,'Upgrade'!$A$22:$K$26,8,FALSE)</x:f>
        <x:v>0</x:v>
      </x:c>
      <x:c r="J15" s="32" t="n">
        <x:f>VLOOKUP(B15,'Upgrade'!$A$22:$K$26,9,FALSE)</x:f>
        <x:v>0</x:v>
      </x:c>
      <x:c r="K15" s="38" t="n">
        <x:f>F15*E15/G15</x:f>
        <x:v>113.86666666666667</x:v>
      </x:c>
      <x:c r="L15" s="38" t="n">
        <x:f>MAX($H$6,F15-VLOOKUP("VoidGolem",'Monster'!$A$8:$K$13,7,FALSE))*E15/G15</x:f>
        <x:v>12.200000000000014</x:v>
      </x:c>
      <x:c r="M15" s="38" t="n">
        <x:f>MAX($H$6,F15-VLOOKUP("VoidGolem",'Monster'!$A$8:$K$13,8,FALSE))*E15/G15</x:f>
        <x:v>4.066666666666666</x:v>
      </x:c>
      <x:c r="N15" s="19" t="n">
        <x:f>$B$6+VLOOKUP(B15,'Upgrade'!$A$22:$K$26,10,FALSE)+VLOOKUP(C15,'Upgrade'!$A$22:$K$26,11,FALSE)</x:f>
        <x:v>4210</x:v>
      </x:c>
      <x:c r="O15" s="19" t="n">
        <x:f>ROUNDDOWN(N15*$I$6+0.00000001,0)</x:f>
        <x:v>2947</x:v>
      </x:c>
    </x:row>
    <x:row r="16" ht="23" customHeight="1">
      <x:c r="A16" s="14" t="str">
        <x:v>1-0</x:v>
      </x:c>
      <x:c r="B16" s="33" t="n">
        <x:v>1</x:v>
      </x:c>
      <x:c r="C16" s="33" t="n">
        <x:v>0</x:v>
      </x:c>
      <x:c r="D16" s="40" t="n">
        <x:f>$C$6*VLOOKUP(B16,'Upgrade'!$A$22:$K$26,2,FALSE)</x:f>
        <x:v>56.00000000000001</x:v>
      </x:c>
      <x:c r="E16" s="33" t="n">
        <x:f>VLOOKUP(C16,'Upgrade'!$A$22:$K$26,6,FALSE)</x:f>
        <x:v>1</x:v>
      </x:c>
      <x:c r="F16" s="40" t="n">
        <x:f>D16*VLOOKUP(C16,'Upgrade'!$A$22:$K$26,7,FALSE)</x:f>
        <x:v>56.00000000000001</x:v>
      </x:c>
      <x:c r="G16" s="40" t="n">
        <x:f>$E$6/VLOOKUP(C16,'Upgrade'!$A$22:$K$26,3,FALSE)</x:f>
        <x:v>0.9</x:v>
      </x:c>
      <x:c r="H16" s="40" t="n">
        <x:f>$D$6*VLOOKUP(B16,'Upgrade'!$A$22:$K$26,4,FALSE)*VLOOKUP(C16,'Upgrade'!$A$22:$K$26,5,FALSE)</x:f>
        <x:v>210</x:v>
      </x:c>
      <x:c r="I16" s="41" t="n">
        <x:f>VLOOKUP(B16,'Upgrade'!$A$22:$K$26,8,FALSE)</x:f>
        <x:v>0</x:v>
      </x:c>
      <x:c r="J16" s="33" t="n">
        <x:f>VLOOKUP(B16,'Upgrade'!$A$22:$K$26,9,FALSE)</x:f>
        <x:v>0</x:v>
      </x:c>
      <x:c r="K16" s="40" t="n">
        <x:f>F16*E16/G16</x:f>
        <x:v>62.22222222222223</x:v>
      </x:c>
      <x:c r="L16" s="40" t="n">
        <x:f>MAX($H$6,F16-VLOOKUP("VoidGolem",'Monster'!$A$8:$K$13,7,FALSE))*E16/G16</x:f>
        <x:v>34.44444444444445</x:v>
      </x:c>
      <x:c r="M16" s="40" t="n">
        <x:f>MAX($H$6,F16-VLOOKUP("VoidGolem",'Monster'!$A$8:$K$13,8,FALSE))*E16/G16</x:f>
        <x:v>23.33333333333334</x:v>
      </x:c>
      <x:c r="N16" s="20" t="n">
        <x:f>$B$6+VLOOKUP(B16,'Upgrade'!$A$22:$K$26,10,FALSE)+VLOOKUP(C16,'Upgrade'!$A$22:$K$26,11,FALSE)</x:f>
        <x:v>460</x:v>
      </x:c>
      <x:c r="O16" s="20" t="n">
        <x:f>ROUNDDOWN(N16*$I$6+0.00000001,0)</x:f>
        <x:v>322</x:v>
      </x:c>
    </x:row>
    <x:row r="17" ht="23" customHeight="1">
      <x:c r="A17" s="3" t="str">
        <x:v>1-1</x:v>
      </x:c>
      <x:c r="B17" s="32" t="n">
        <x:v>1</x:v>
      </x:c>
      <x:c r="C17" s="32" t="n">
        <x:v>1</x:v>
      </x:c>
      <x:c r="D17" s="38" t="n">
        <x:f>$C$6*VLOOKUP(B17,'Upgrade'!$A$22:$K$26,2,FALSE)</x:f>
        <x:v>56.00000000000001</x:v>
      </x:c>
      <x:c r="E17" s="32" t="n">
        <x:f>VLOOKUP(C17,'Upgrade'!$A$22:$K$26,6,FALSE)</x:f>
        <x:v>1</x:v>
      </x:c>
      <x:c r="F17" s="38" t="n">
        <x:f>D17*VLOOKUP(C17,'Upgrade'!$A$22:$K$26,7,FALSE)</x:f>
        <x:v>56.00000000000001</x:v>
      </x:c>
      <x:c r="G17" s="38" t="n">
        <x:f>$E$6/VLOOKUP(C17,'Upgrade'!$A$22:$K$26,3,FALSE)</x:f>
        <x:v>0.8181818181818181</x:v>
      </x:c>
      <x:c r="H17" s="38" t="n">
        <x:f>$D$6*VLOOKUP(B17,'Upgrade'!$A$22:$K$26,4,FALSE)*VLOOKUP(C17,'Upgrade'!$A$22:$K$26,5,FALSE)</x:f>
        <x:v>210</x:v>
      </x:c>
      <x:c r="I17" s="39" t="n">
        <x:f>VLOOKUP(B17,'Upgrade'!$A$22:$K$26,8,FALSE)</x:f>
        <x:v>0</x:v>
      </x:c>
      <x:c r="J17" s="32" t="n">
        <x:f>VLOOKUP(B17,'Upgrade'!$A$22:$K$26,9,FALSE)</x:f>
        <x:v>0</x:v>
      </x:c>
      <x:c r="K17" s="38" t="n">
        <x:f>F17*E17/G17</x:f>
        <x:v>68.44444444444446</x:v>
      </x:c>
      <x:c r="L17" s="38" t="n">
        <x:f>MAX($H$6,F17-VLOOKUP("VoidGolem",'Monster'!$A$8:$K$13,7,FALSE))*E17/G17</x:f>
        <x:v>37.8888888888889</x:v>
      </x:c>
      <x:c r="M17" s="38" t="n">
        <x:f>MAX($H$6,F17-VLOOKUP("VoidGolem",'Monster'!$A$8:$K$13,8,FALSE))*E17/G17</x:f>
        <x:v>25.66666666666668</x:v>
      </x:c>
      <x:c r="N17" s="19" t="n">
        <x:f>$B$6+VLOOKUP(B17,'Upgrade'!$A$22:$K$26,10,FALSE)+VLOOKUP(C17,'Upgrade'!$A$22:$K$26,11,FALSE)</x:f>
        <x:v>590</x:v>
      </x:c>
      <x:c r="O17" s="19" t="n">
        <x:f>ROUNDDOWN(N17*$I$6+0.00000001,0)</x:f>
        <x:v>413</x:v>
      </x:c>
    </x:row>
    <x:row r="18" ht="23" customHeight="1">
      <x:c r="A18" s="14" t="str">
        <x:v>1-2</x:v>
      </x:c>
      <x:c r="B18" s="33" t="n">
        <x:v>1</x:v>
      </x:c>
      <x:c r="C18" s="33" t="n">
        <x:v>2</x:v>
      </x:c>
      <x:c r="D18" s="40" t="n">
        <x:f>$C$6*VLOOKUP(B18,'Upgrade'!$A$22:$K$26,2,FALSE)</x:f>
        <x:v>56.00000000000001</x:v>
      </x:c>
      <x:c r="E18" s="33" t="n">
        <x:f>VLOOKUP(C18,'Upgrade'!$A$22:$K$26,6,FALSE)</x:f>
        <x:v>1</x:v>
      </x:c>
      <x:c r="F18" s="40" t="n">
        <x:f>D18*VLOOKUP(C18,'Upgrade'!$A$22:$K$26,7,FALSE)</x:f>
        <x:v>56.00000000000001</x:v>
      </x:c>
      <x:c r="G18" s="40" t="n">
        <x:f>$E$6/VLOOKUP(C18,'Upgrade'!$A$22:$K$26,3,FALSE)</x:f>
        <x:v>0.7377049180327869</x:v>
      </x:c>
      <x:c r="H18" s="40" t="n">
        <x:f>$D$6*VLOOKUP(B18,'Upgrade'!$A$22:$K$26,4,FALSE)*VLOOKUP(C18,'Upgrade'!$A$22:$K$26,5,FALSE)</x:f>
        <x:v>218.4</x:v>
      </x:c>
      <x:c r="I18" s="41" t="n">
        <x:f>VLOOKUP(B18,'Upgrade'!$A$22:$K$26,8,FALSE)</x:f>
        <x:v>0</x:v>
      </x:c>
      <x:c r="J18" s="33" t="n">
        <x:f>VLOOKUP(B18,'Upgrade'!$A$22:$K$26,9,FALSE)</x:f>
        <x:v>0</x:v>
      </x:c>
      <x:c r="K18" s="40" t="n">
        <x:f>F18*E18/G18</x:f>
        <x:v>75.91111111111111</x:v>
      </x:c>
      <x:c r="L18" s="40" t="n">
        <x:f>MAX($H$6,F18-VLOOKUP("VoidGolem",'Monster'!$A$8:$K$13,7,FALSE))*E18/G18</x:f>
        <x:v>42.02222222222223</x:v>
      </x:c>
      <x:c r="M18" s="40" t="n">
        <x:f>MAX($H$6,F18-VLOOKUP("VoidGolem",'Monster'!$A$8:$K$13,8,FALSE))*E18/G18</x:f>
        <x:v>28.466666666666676</x:v>
      </x:c>
      <x:c r="N18" s="20" t="n">
        <x:f>$B$6+VLOOKUP(B18,'Upgrade'!$A$22:$K$26,10,FALSE)+VLOOKUP(C18,'Upgrade'!$A$22:$K$26,11,FALSE)</x:f>
        <x:v>870</x:v>
      </x:c>
      <x:c r="O18" s="20" t="n">
        <x:f>ROUNDDOWN(N18*$I$6+0.00000001,0)</x:f>
        <x:v>609</x:v>
      </x:c>
    </x:row>
    <x:row r="19" ht="23" customHeight="1">
      <x:c r="A19" s="3" t="str">
        <x:v>1-3</x:v>
      </x:c>
      <x:c r="B19" s="32" t="n">
        <x:v>1</x:v>
      </x:c>
      <x:c r="C19" s="32" t="n">
        <x:v>3</x:v>
      </x:c>
      <x:c r="D19" s="38" t="n">
        <x:f>$C$6*VLOOKUP(B19,'Upgrade'!$A$22:$K$26,2,FALSE)</x:f>
        <x:v>56.00000000000001</x:v>
      </x:c>
      <x:c r="E19" s="32" t="n">
        <x:f>VLOOKUP(C19,'Upgrade'!$A$22:$K$26,6,FALSE)</x:f>
        <x:v>2</x:v>
      </x:c>
      <x:c r="F19" s="38" t="n">
        <x:f>D19*VLOOKUP(C19,'Upgrade'!$A$22:$K$26,7,FALSE)</x:f>
        <x:v>34.720000000000006</x:v>
      </x:c>
      <x:c r="G19" s="38" t="n">
        <x:f>$E$6/VLOOKUP(C19,'Upgrade'!$A$22:$K$26,3,FALSE)</x:f>
        <x:v>0.7377049180327869</x:v>
      </x:c>
      <x:c r="H19" s="38" t="n">
        <x:f>$D$6*VLOOKUP(B19,'Upgrade'!$A$22:$K$26,4,FALSE)*VLOOKUP(C19,'Upgrade'!$A$22:$K$26,5,FALSE)</x:f>
        <x:v>218.4</x:v>
      </x:c>
      <x:c r="I19" s="39" t="n">
        <x:f>VLOOKUP(B19,'Upgrade'!$A$22:$K$26,8,FALSE)</x:f>
        <x:v>0</x:v>
      </x:c>
      <x:c r="J19" s="32" t="n">
        <x:f>VLOOKUP(B19,'Upgrade'!$A$22:$K$26,9,FALSE)</x:f>
        <x:v>0</x:v>
      </x:c>
      <x:c r="K19" s="38" t="n">
        <x:f>F19*E19/G19</x:f>
        <x:v>94.12977777777779</x:v>
      </x:c>
      <x:c r="L19" s="38" t="n">
        <x:f>MAX($H$6,F19-VLOOKUP("VoidGolem",'Monster'!$A$8:$K$13,7,FALSE))*E19/G19</x:f>
        <x:v>26.352000000000015</x:v>
      </x:c>
      <x:c r="M19" s="38" t="n">
        <x:f>MAX($H$6,F19-VLOOKUP("VoidGolem",'Monster'!$A$8:$K$13,8,FALSE))*E19/G19</x:f>
        <x:v>2.711111111111111</x:v>
      </x:c>
      <x:c r="N19" s="19" t="n">
        <x:f>$B$6+VLOOKUP(B19,'Upgrade'!$A$22:$K$26,10,FALSE)+VLOOKUP(C19,'Upgrade'!$A$22:$K$26,11,FALSE)</x:f>
        <x:v>1870</x:v>
      </x:c>
      <x:c r="O19" s="19" t="n">
        <x:f>ROUNDDOWN(N19*$I$6+0.00000001,0)</x:f>
        <x:v>1309</x:v>
      </x:c>
    </x:row>
    <x:row r="20" ht="23" customHeight="1">
      <x:c r="A20" s="14" t="str">
        <x:v>1-4</x:v>
      </x:c>
      <x:c r="B20" s="33" t="n">
        <x:v>1</x:v>
      </x:c>
      <x:c r="C20" s="33" t="n">
        <x:v>4</x:v>
      </x:c>
      <x:c r="D20" s="40" t="n">
        <x:f>$C$6*VLOOKUP(B20,'Upgrade'!$A$22:$K$26,2,FALSE)</x:f>
        <x:v>56.00000000000001</x:v>
      </x:c>
      <x:c r="E20" s="33" t="n">
        <x:f>VLOOKUP(C20,'Upgrade'!$A$22:$K$26,6,FALSE)</x:f>
        <x:v>3</x:v>
      </x:c>
      <x:c r="F20" s="40" t="n">
        <x:f>D20*VLOOKUP(C20,'Upgrade'!$A$22:$K$26,7,FALSE)</x:f>
        <x:v>31.360000000000007</x:v>
      </x:c>
      <x:c r="G20" s="40" t="n">
        <x:f>$E$6/VLOOKUP(C20,'Upgrade'!$A$22:$K$26,3,FALSE)</x:f>
        <x:v>0.7377049180327869</x:v>
      </x:c>
      <x:c r="H20" s="40" t="n">
        <x:f>$D$6*VLOOKUP(B20,'Upgrade'!$A$22:$K$26,4,FALSE)*VLOOKUP(C20,'Upgrade'!$A$22:$K$26,5,FALSE)</x:f>
        <x:v>218.4</x:v>
      </x:c>
      <x:c r="I20" s="41" t="n">
        <x:f>VLOOKUP(B20,'Upgrade'!$A$22:$K$26,8,FALSE)</x:f>
        <x:v>0</x:v>
      </x:c>
      <x:c r="J20" s="33" t="n">
        <x:f>VLOOKUP(B20,'Upgrade'!$A$22:$K$26,9,FALSE)</x:f>
        <x:v>0</x:v>
      </x:c>
      <x:c r="K20" s="40" t="n">
        <x:f>F20*E20/G20</x:f>
        <x:v>127.53066666666668</x:v>
      </x:c>
      <x:c r="L20" s="40" t="n">
        <x:f>MAX($H$6,F20-VLOOKUP("VoidGolem",'Monster'!$A$8:$K$13,7,FALSE))*E20/G20</x:f>
        <x:v>25.864000000000026</x:v>
      </x:c>
      <x:c r="M20" s="40" t="n">
        <x:f>MAX($H$6,F20-VLOOKUP("VoidGolem",'Monster'!$A$8:$K$13,8,FALSE))*E20/G20</x:f>
        <x:v>4.066666666666666</x:v>
      </x:c>
      <x:c r="N20" s="20" t="n">
        <x:f>$B$6+VLOOKUP(B20,'Upgrade'!$A$22:$K$26,10,FALSE)+VLOOKUP(C20,'Upgrade'!$A$22:$K$26,11,FALSE)</x:f>
        <x:v>4370</x:v>
      </x:c>
      <x:c r="O20" s="20" t="n">
        <x:f>ROUNDDOWN(N20*$I$6+0.00000001,0)</x:f>
        <x:v>3059</x:v>
      </x:c>
    </x:row>
    <x:row r="21" ht="23" customHeight="1">
      <x:c r="A21" s="3" t="str">
        <x:v>2-0</x:v>
      </x:c>
      <x:c r="B21" s="32" t="n">
        <x:v>2</x:v>
      </x:c>
      <x:c r="C21" s="32" t="n">
        <x:v>0</x:v>
      </x:c>
      <x:c r="D21" s="38" t="n">
        <x:f>$C$6*VLOOKUP(B21,'Upgrade'!$A$22:$K$26,2,FALSE)</x:f>
        <x:v>62</x:v>
      </x:c>
      <x:c r="E21" s="32" t="n">
        <x:f>VLOOKUP(C21,'Upgrade'!$A$22:$K$26,6,FALSE)</x:f>
        <x:v>1</x:v>
      </x:c>
      <x:c r="F21" s="38" t="n">
        <x:f>D21*VLOOKUP(C21,'Upgrade'!$A$22:$K$26,7,FALSE)</x:f>
        <x:v>62</x:v>
      </x:c>
      <x:c r="G21" s="38" t="n">
        <x:f>$E$6/VLOOKUP(C21,'Upgrade'!$A$22:$K$26,3,FALSE)</x:f>
        <x:v>0.9</x:v>
      </x:c>
      <x:c r="H21" s="38" t="n">
        <x:f>$D$6*VLOOKUP(B21,'Upgrade'!$A$22:$K$26,4,FALSE)*VLOOKUP(C21,'Upgrade'!$A$22:$K$26,5,FALSE)</x:f>
        <x:v>218.4</x:v>
      </x:c>
      <x:c r="I21" s="39" t="n">
        <x:f>VLOOKUP(B21,'Upgrade'!$A$22:$K$26,8,FALSE)</x:f>
        <x:v>0</x:v>
      </x:c>
      <x:c r="J21" s="32" t="n">
        <x:f>VLOOKUP(B21,'Upgrade'!$A$22:$K$26,9,FALSE)</x:f>
        <x:v>0</x:v>
      </x:c>
      <x:c r="K21" s="38" t="n">
        <x:f>F21*E21/G21</x:f>
        <x:v>68.88888888888889</x:v>
      </x:c>
      <x:c r="L21" s="38" t="n">
        <x:f>MAX($H$6,F21-VLOOKUP("VoidGolem",'Monster'!$A$8:$K$13,7,FALSE))*E21/G21</x:f>
        <x:v>41.11111111111111</x:v>
      </x:c>
      <x:c r="M21" s="38" t="n">
        <x:f>MAX($H$6,F21-VLOOKUP("VoidGolem",'Monster'!$A$8:$K$13,8,FALSE))*E21/G21</x:f>
        <x:v>30</x:v>
      </x:c>
      <x:c r="N21" s="19" t="n">
        <x:f>$B$6+VLOOKUP(B21,'Upgrade'!$A$22:$K$26,10,FALSE)+VLOOKUP(C21,'Upgrade'!$A$22:$K$26,11,FALSE)</x:f>
        <x:v>760</x:v>
      </x:c>
      <x:c r="O21" s="19" t="n">
        <x:f>ROUNDDOWN(N21*$I$6+0.00000001,0)</x:f>
        <x:v>532</x:v>
      </x:c>
    </x:row>
    <x:row r="22" ht="23" customHeight="1">
      <x:c r="A22" s="14" t="str">
        <x:v>2-1</x:v>
      </x:c>
      <x:c r="B22" s="33" t="n">
        <x:v>2</x:v>
      </x:c>
      <x:c r="C22" s="33" t="n">
        <x:v>1</x:v>
      </x:c>
      <x:c r="D22" s="40" t="n">
        <x:f>$C$6*VLOOKUP(B22,'Upgrade'!$A$22:$K$26,2,FALSE)</x:f>
        <x:v>62</x:v>
      </x:c>
      <x:c r="E22" s="33" t="n">
        <x:f>VLOOKUP(C22,'Upgrade'!$A$22:$K$26,6,FALSE)</x:f>
        <x:v>1</x:v>
      </x:c>
      <x:c r="F22" s="40" t="n">
        <x:f>D22*VLOOKUP(C22,'Upgrade'!$A$22:$K$26,7,FALSE)</x:f>
        <x:v>62</x:v>
      </x:c>
      <x:c r="G22" s="40" t="n">
        <x:f>$E$6/VLOOKUP(C22,'Upgrade'!$A$22:$K$26,3,FALSE)</x:f>
        <x:v>0.8181818181818181</x:v>
      </x:c>
      <x:c r="H22" s="40" t="n">
        <x:f>$D$6*VLOOKUP(B22,'Upgrade'!$A$22:$K$26,4,FALSE)*VLOOKUP(C22,'Upgrade'!$A$22:$K$26,5,FALSE)</x:f>
        <x:v>218.4</x:v>
      </x:c>
      <x:c r="I22" s="41" t="n">
        <x:f>VLOOKUP(B22,'Upgrade'!$A$22:$K$26,8,FALSE)</x:f>
        <x:v>0</x:v>
      </x:c>
      <x:c r="J22" s="33" t="n">
        <x:f>VLOOKUP(B22,'Upgrade'!$A$22:$K$26,9,FALSE)</x:f>
        <x:v>0</x:v>
      </x:c>
      <x:c r="K22" s="40" t="n">
        <x:f>F22*E22/G22</x:f>
        <x:v>75.77777777777779</x:v>
      </x:c>
      <x:c r="L22" s="40" t="n">
        <x:f>MAX($H$6,F22-VLOOKUP("VoidGolem",'Monster'!$A$8:$K$13,7,FALSE))*E22/G22</x:f>
        <x:v>45.22222222222223</x:v>
      </x:c>
      <x:c r="M22" s="40" t="n">
        <x:f>MAX($H$6,F22-VLOOKUP("VoidGolem",'Monster'!$A$8:$K$13,8,FALSE))*E22/G22</x:f>
        <x:v>33</x:v>
      </x:c>
      <x:c r="N22" s="20" t="n">
        <x:f>$B$6+VLOOKUP(B22,'Upgrade'!$A$22:$K$26,10,FALSE)+VLOOKUP(C22,'Upgrade'!$A$22:$K$26,11,FALSE)</x:f>
        <x:v>890</x:v>
      </x:c>
      <x:c r="O22" s="20" t="n">
        <x:f>ROUNDDOWN(N22*$I$6+0.00000001,0)</x:f>
        <x:v>623</x:v>
      </x:c>
    </x:row>
    <x:row r="23" ht="23" customHeight="1">
      <x:c r="A23" s="3" t="str">
        <x:v>2-2</x:v>
      </x:c>
      <x:c r="B23" s="32" t="n">
        <x:v>2</x:v>
      </x:c>
      <x:c r="C23" s="32" t="n">
        <x:v>2</x:v>
      </x:c>
      <x:c r="D23" s="38" t="n">
        <x:f>$C$6*VLOOKUP(B23,'Upgrade'!$A$22:$K$26,2,FALSE)</x:f>
        <x:v>62</x:v>
      </x:c>
      <x:c r="E23" s="32" t="n">
        <x:f>VLOOKUP(C23,'Upgrade'!$A$22:$K$26,6,FALSE)</x:f>
        <x:v>1</x:v>
      </x:c>
      <x:c r="F23" s="38" t="n">
        <x:f>D23*VLOOKUP(C23,'Upgrade'!$A$22:$K$26,7,FALSE)</x:f>
        <x:v>62</x:v>
      </x:c>
      <x:c r="G23" s="38" t="n">
        <x:f>$E$6/VLOOKUP(C23,'Upgrade'!$A$22:$K$26,3,FALSE)</x:f>
        <x:v>0.7377049180327869</x:v>
      </x:c>
      <x:c r="H23" s="38" t="n">
        <x:f>$D$6*VLOOKUP(B23,'Upgrade'!$A$22:$K$26,4,FALSE)*VLOOKUP(C23,'Upgrade'!$A$22:$K$26,5,FALSE)</x:f>
        <x:v>227.13600000000002</x:v>
      </x:c>
      <x:c r="I23" s="39" t="n">
        <x:f>VLOOKUP(B23,'Upgrade'!$A$22:$K$26,8,FALSE)</x:f>
        <x:v>0</x:v>
      </x:c>
      <x:c r="J23" s="32" t="n">
        <x:f>VLOOKUP(B23,'Upgrade'!$A$22:$K$26,9,FALSE)</x:f>
        <x:v>0</x:v>
      </x:c>
      <x:c r="K23" s="38" t="n">
        <x:f>F23*E23/G23</x:f>
        <x:v>84.04444444444444</x:v>
      </x:c>
      <x:c r="L23" s="38" t="n">
        <x:f>MAX($H$6,F23-VLOOKUP("VoidGolem",'Monster'!$A$8:$K$13,7,FALSE))*E23/G23</x:f>
        <x:v>50.15555555555555</x:v>
      </x:c>
      <x:c r="M23" s="38" t="n">
        <x:f>MAX($H$6,F23-VLOOKUP("VoidGolem",'Monster'!$A$8:$K$13,8,FALSE))*E23/G23</x:f>
        <x:v>36.6</x:v>
      </x:c>
      <x:c r="N23" s="19" t="n">
        <x:f>$B$6+VLOOKUP(B23,'Upgrade'!$A$22:$K$26,10,FALSE)+VLOOKUP(C23,'Upgrade'!$A$22:$K$26,11,FALSE)</x:f>
        <x:v>1170</x:v>
      </x:c>
      <x:c r="O23" s="19" t="n">
        <x:f>ROUNDDOWN(N23*$I$6+0.00000001,0)</x:f>
        <x:v>819</x:v>
      </x:c>
    </x:row>
    <x:row r="24" ht="23" customHeight="1">
      <x:c r="A24" s="14" t="str">
        <x:v>2-3</x:v>
      </x:c>
      <x:c r="B24" s="33" t="n">
        <x:v>2</x:v>
      </x:c>
      <x:c r="C24" s="33" t="n">
        <x:v>3</x:v>
      </x:c>
      <x:c r="D24" s="40" t="n">
        <x:f>$C$6*VLOOKUP(B24,'Upgrade'!$A$22:$K$26,2,FALSE)</x:f>
        <x:v>62</x:v>
      </x:c>
      <x:c r="E24" s="33" t="n">
        <x:f>VLOOKUP(C24,'Upgrade'!$A$22:$K$26,6,FALSE)</x:f>
        <x:v>2</x:v>
      </x:c>
      <x:c r="F24" s="40" t="n">
        <x:f>D24*VLOOKUP(C24,'Upgrade'!$A$22:$K$26,7,FALSE)</x:f>
        <x:v>38.44</x:v>
      </x:c>
      <x:c r="G24" s="40" t="n">
        <x:f>$E$6/VLOOKUP(C24,'Upgrade'!$A$22:$K$26,3,FALSE)</x:f>
        <x:v>0.7377049180327869</x:v>
      </x:c>
      <x:c r="H24" s="40" t="n">
        <x:f>$D$6*VLOOKUP(B24,'Upgrade'!$A$22:$K$26,4,FALSE)*VLOOKUP(C24,'Upgrade'!$A$22:$K$26,5,FALSE)</x:f>
        <x:v>227.13600000000002</x:v>
      </x:c>
      <x:c r="I24" s="41" t="n">
        <x:f>VLOOKUP(B24,'Upgrade'!$A$22:$K$26,8,FALSE)</x:f>
        <x:v>0</x:v>
      </x:c>
      <x:c r="J24" s="33" t="n">
        <x:f>VLOOKUP(B24,'Upgrade'!$A$22:$K$26,9,FALSE)</x:f>
        <x:v>0</x:v>
      </x:c>
      <x:c r="K24" s="40" t="n">
        <x:f>F24*E24/G24</x:f>
        <x:v>104.2151111111111</x:v>
      </x:c>
      <x:c r="L24" s="40" t="n">
        <x:f>MAX($H$6,F24-VLOOKUP("VoidGolem",'Monster'!$A$8:$K$13,7,FALSE))*E24/G24</x:f>
        <x:v>36.43733333333333</x:v>
      </x:c>
      <x:c r="M24" s="40" t="n">
        <x:f>MAX($H$6,F24-VLOOKUP("VoidGolem",'Monster'!$A$8:$K$13,8,FALSE))*E24/G24</x:f>
        <x:v>9.326222222222215</x:v>
      </x:c>
      <x:c r="N24" s="20" t="n">
        <x:f>$B$6+VLOOKUP(B24,'Upgrade'!$A$22:$K$26,10,FALSE)+VLOOKUP(C24,'Upgrade'!$A$22:$K$26,11,FALSE)</x:f>
        <x:v>2170</x:v>
      </x:c>
      <x:c r="O24" s="20" t="n">
        <x:f>ROUNDDOWN(N24*$I$6+0.00000001,0)</x:f>
        <x:v>1519</x:v>
      </x:c>
    </x:row>
    <x:row r="25" ht="23" customHeight="1">
      <x:c r="A25" s="3" t="str">
        <x:v>2-4</x:v>
      </x:c>
      <x:c r="B25" s="32" t="n">
        <x:v>2</x:v>
      </x:c>
      <x:c r="C25" s="32" t="n">
        <x:v>4</x:v>
      </x:c>
      <x:c r="D25" s="38" t="n">
        <x:f>$C$6*VLOOKUP(B25,'Upgrade'!$A$22:$K$26,2,FALSE)</x:f>
        <x:v>62</x:v>
      </x:c>
      <x:c r="E25" s="32" t="n">
        <x:f>VLOOKUP(C25,'Upgrade'!$A$22:$K$26,6,FALSE)</x:f>
        <x:v>3</x:v>
      </x:c>
      <x:c r="F25" s="38" t="n">
        <x:f>D25*VLOOKUP(C25,'Upgrade'!$A$22:$K$26,7,FALSE)</x:f>
        <x:v>34.720000000000006</x:v>
      </x:c>
      <x:c r="G25" s="38" t="n">
        <x:f>$E$6/VLOOKUP(C25,'Upgrade'!$A$22:$K$26,3,FALSE)</x:f>
        <x:v>0.7377049180327869</x:v>
      </x:c>
      <x:c r="H25" s="38" t="n">
        <x:f>$D$6*VLOOKUP(B25,'Upgrade'!$A$22:$K$26,4,FALSE)*VLOOKUP(C25,'Upgrade'!$A$22:$K$26,5,FALSE)</x:f>
        <x:v>227.13600000000002</x:v>
      </x:c>
      <x:c r="I25" s="39" t="n">
        <x:f>VLOOKUP(B25,'Upgrade'!$A$22:$K$26,8,FALSE)</x:f>
        <x:v>0</x:v>
      </x:c>
      <x:c r="J25" s="32" t="n">
        <x:f>VLOOKUP(B25,'Upgrade'!$A$22:$K$26,9,FALSE)</x:f>
        <x:v>0</x:v>
      </x:c>
      <x:c r="K25" s="38" t="n">
        <x:f>F25*E25/G25</x:f>
        <x:v>141.1946666666667</x:v>
      </x:c>
      <x:c r="L25" s="38" t="n">
        <x:f>MAX($H$6,F25-VLOOKUP("VoidGolem",'Monster'!$A$8:$K$13,7,FALSE))*E25/G25</x:f>
        <x:v>39.52800000000002</x:v>
      </x:c>
      <x:c r="M25" s="38" t="n">
        <x:f>MAX($H$6,F25-VLOOKUP("VoidGolem",'Monster'!$A$8:$K$13,8,FALSE))*E25/G25</x:f>
        <x:v>4.066666666666666</x:v>
      </x:c>
      <x:c r="N25" s="19" t="n">
        <x:f>$B$6+VLOOKUP(B25,'Upgrade'!$A$22:$K$26,10,FALSE)+VLOOKUP(C25,'Upgrade'!$A$22:$K$26,11,FALSE)</x:f>
        <x:v>4670</x:v>
      </x:c>
      <x:c r="O25" s="19" t="n">
        <x:f>ROUNDDOWN(N25*$I$6+0.00000001,0)</x:f>
        <x:v>3269</x:v>
      </x:c>
    </x:row>
    <x:row r="26" ht="23" customHeight="1">
      <x:c r="A26" s="14" t="str">
        <x:v>3-0</x:v>
      </x:c>
      <x:c r="B26" s="33" t="n">
        <x:v>3</x:v>
      </x:c>
      <x:c r="C26" s="33" t="n">
        <x:v>0</x:v>
      </x:c>
      <x:c r="D26" s="40" t="n">
        <x:f>$C$6*VLOOKUP(B26,'Upgrade'!$A$22:$K$26,2,FALSE)</x:f>
        <x:v>62</x:v>
      </x:c>
      <x:c r="E26" s="33" t="n">
        <x:f>VLOOKUP(C26,'Upgrade'!$A$22:$K$26,6,FALSE)</x:f>
        <x:v>1</x:v>
      </x:c>
      <x:c r="F26" s="40" t="n">
        <x:f>D26*VLOOKUP(C26,'Upgrade'!$A$22:$K$26,7,FALSE)</x:f>
        <x:v>62</x:v>
      </x:c>
      <x:c r="G26" s="40" t="n">
        <x:f>$E$6/VLOOKUP(C26,'Upgrade'!$A$22:$K$26,3,FALSE)</x:f>
        <x:v>0.9</x:v>
      </x:c>
      <x:c r="H26" s="40" t="n">
        <x:f>$D$6*VLOOKUP(B26,'Upgrade'!$A$22:$K$26,4,FALSE)*VLOOKUP(C26,'Upgrade'!$A$22:$K$26,5,FALSE)</x:f>
        <x:v>218.4</x:v>
      </x:c>
      <x:c r="I26" s="41" t="n">
        <x:f>VLOOKUP(B26,'Upgrade'!$A$22:$K$26,8,FALSE)</x:f>
        <x:v>0.25</x:v>
      </x:c>
      <x:c r="J26" s="33" t="n">
        <x:f>VLOOKUP(B26,'Upgrade'!$A$22:$K$26,9,FALSE)</x:f>
        <x:v>64</x:v>
      </x:c>
      <x:c r="K26" s="40" t="n">
        <x:f>F26*E26/G26</x:f>
        <x:v>68.88888888888889</x:v>
      </x:c>
      <x:c r="L26" s="40" t="n">
        <x:f>MAX($H$6,F26-VLOOKUP("VoidGolem",'Monster'!$A$8:$K$13,7,FALSE))*E26/G26</x:f>
        <x:v>41.11111111111111</x:v>
      </x:c>
      <x:c r="M26" s="40" t="n">
        <x:f>MAX($H$6,F26-VLOOKUP("VoidGolem",'Monster'!$A$8:$K$13,8,FALSE))*E26/G26</x:f>
        <x:v>30</x:v>
      </x:c>
      <x:c r="N26" s="20" t="n">
        <x:f>$B$6+VLOOKUP(B26,'Upgrade'!$A$22:$K$26,10,FALSE)+VLOOKUP(C26,'Upgrade'!$A$22:$K$26,11,FALSE)</x:f>
        <x:v>1860</x:v>
      </x:c>
      <x:c r="O26" s="20" t="n">
        <x:f>ROUNDDOWN(N26*$I$6+0.00000001,0)</x:f>
        <x:v>1302</x:v>
      </x:c>
    </x:row>
    <x:row r="27" ht="23" customHeight="1">
      <x:c r="A27" s="3" t="str">
        <x:v>3-1</x:v>
      </x:c>
      <x:c r="B27" s="32" t="n">
        <x:v>3</x:v>
      </x:c>
      <x:c r="C27" s="32" t="n">
        <x:v>1</x:v>
      </x:c>
      <x:c r="D27" s="38" t="n">
        <x:f>$C$6*VLOOKUP(B27,'Upgrade'!$A$22:$K$26,2,FALSE)</x:f>
        <x:v>62</x:v>
      </x:c>
      <x:c r="E27" s="32" t="n">
        <x:f>VLOOKUP(C27,'Upgrade'!$A$22:$K$26,6,FALSE)</x:f>
        <x:v>1</x:v>
      </x:c>
      <x:c r="F27" s="38" t="n">
        <x:f>D27*VLOOKUP(C27,'Upgrade'!$A$22:$K$26,7,FALSE)</x:f>
        <x:v>62</x:v>
      </x:c>
      <x:c r="G27" s="38" t="n">
        <x:f>$E$6/VLOOKUP(C27,'Upgrade'!$A$22:$K$26,3,FALSE)</x:f>
        <x:v>0.8181818181818181</x:v>
      </x:c>
      <x:c r="H27" s="38" t="n">
        <x:f>$D$6*VLOOKUP(B27,'Upgrade'!$A$22:$K$26,4,FALSE)*VLOOKUP(C27,'Upgrade'!$A$22:$K$26,5,FALSE)</x:f>
        <x:v>218.4</x:v>
      </x:c>
      <x:c r="I27" s="39" t="n">
        <x:f>VLOOKUP(B27,'Upgrade'!$A$22:$K$26,8,FALSE)</x:f>
        <x:v>0.25</x:v>
      </x:c>
      <x:c r="J27" s="32" t="n">
        <x:f>VLOOKUP(B27,'Upgrade'!$A$22:$K$26,9,FALSE)</x:f>
        <x:v>64</x:v>
      </x:c>
      <x:c r="K27" s="38" t="n">
        <x:f>F27*E27/G27</x:f>
        <x:v>75.77777777777779</x:v>
      </x:c>
      <x:c r="L27" s="38" t="n">
        <x:f>MAX($H$6,F27-VLOOKUP("VoidGolem",'Monster'!$A$8:$K$13,7,FALSE))*E27/G27</x:f>
        <x:v>45.22222222222223</x:v>
      </x:c>
      <x:c r="M27" s="38" t="n">
        <x:f>MAX($H$6,F27-VLOOKUP("VoidGolem",'Monster'!$A$8:$K$13,8,FALSE))*E27/G27</x:f>
        <x:v>33</x:v>
      </x:c>
      <x:c r="N27" s="19" t="n">
        <x:f>$B$6+VLOOKUP(B27,'Upgrade'!$A$22:$K$26,10,FALSE)+VLOOKUP(C27,'Upgrade'!$A$22:$K$26,11,FALSE)</x:f>
        <x:v>1990</x:v>
      </x:c>
      <x:c r="O27" s="19" t="n">
        <x:f>ROUNDDOWN(N27*$I$6+0.00000001,0)</x:f>
        <x:v>1393</x:v>
      </x:c>
    </x:row>
    <x:row r="28" ht="23" customHeight="1">
      <x:c r="A28" s="14" t="str">
        <x:v>3-2</x:v>
      </x:c>
      <x:c r="B28" s="33" t="n">
        <x:v>3</x:v>
      </x:c>
      <x:c r="C28" s="33" t="n">
        <x:v>2</x:v>
      </x:c>
      <x:c r="D28" s="40" t="n">
        <x:f>$C$6*VLOOKUP(B28,'Upgrade'!$A$22:$K$26,2,FALSE)</x:f>
        <x:v>62</x:v>
      </x:c>
      <x:c r="E28" s="33" t="n">
        <x:f>VLOOKUP(C28,'Upgrade'!$A$22:$K$26,6,FALSE)</x:f>
        <x:v>1</x:v>
      </x:c>
      <x:c r="F28" s="40" t="n">
        <x:f>D28*VLOOKUP(C28,'Upgrade'!$A$22:$K$26,7,FALSE)</x:f>
        <x:v>62</x:v>
      </x:c>
      <x:c r="G28" s="40" t="n">
        <x:f>$E$6/VLOOKUP(C28,'Upgrade'!$A$22:$K$26,3,FALSE)</x:f>
        <x:v>0.7377049180327869</x:v>
      </x:c>
      <x:c r="H28" s="40" t="n">
        <x:f>$D$6*VLOOKUP(B28,'Upgrade'!$A$22:$K$26,4,FALSE)*VLOOKUP(C28,'Upgrade'!$A$22:$K$26,5,FALSE)</x:f>
        <x:v>227.13600000000002</x:v>
      </x:c>
      <x:c r="I28" s="41" t="n">
        <x:f>VLOOKUP(B28,'Upgrade'!$A$22:$K$26,8,FALSE)</x:f>
        <x:v>0.25</x:v>
      </x:c>
      <x:c r="J28" s="33" t="n">
        <x:f>VLOOKUP(B28,'Upgrade'!$A$22:$K$26,9,FALSE)</x:f>
        <x:v>64</x:v>
      </x:c>
      <x:c r="K28" s="40" t="n">
        <x:f>F28*E28/G28</x:f>
        <x:v>84.04444444444444</x:v>
      </x:c>
      <x:c r="L28" s="40" t="n">
        <x:f>MAX($H$6,F28-VLOOKUP("VoidGolem",'Monster'!$A$8:$K$13,7,FALSE))*E28/G28</x:f>
        <x:v>50.15555555555555</x:v>
      </x:c>
      <x:c r="M28" s="40" t="n">
        <x:f>MAX($H$6,F28-VLOOKUP("VoidGolem",'Monster'!$A$8:$K$13,8,FALSE))*E28/G28</x:f>
        <x:v>36.6</x:v>
      </x:c>
      <x:c r="N28" s="20" t="n">
        <x:f>$B$6+VLOOKUP(B28,'Upgrade'!$A$22:$K$26,10,FALSE)+VLOOKUP(C28,'Upgrade'!$A$22:$K$26,11,FALSE)</x:f>
        <x:v>2270</x:v>
      </x:c>
      <x:c r="O28" s="20" t="n">
        <x:f>ROUNDDOWN(N28*$I$6+0.00000001,0)</x:f>
        <x:v>1589</x:v>
      </x:c>
    </x:row>
    <x:row r="29" ht="23" customHeight="1">
      <x:c r="A29" s="3" t="str">
        <x:v>4-0</x:v>
      </x:c>
      <x:c r="B29" s="32" t="n">
        <x:v>4</x:v>
      </x:c>
      <x:c r="C29" s="32" t="n">
        <x:v>0</x:v>
      </x:c>
      <x:c r="D29" s="38" t="n">
        <x:f>$C$6*VLOOKUP(B29,'Upgrade'!$A$22:$K$26,2,FALSE)</x:f>
        <x:v>74</x:v>
      </x:c>
      <x:c r="E29" s="32" t="n">
        <x:f>VLOOKUP(C29,'Upgrade'!$A$22:$K$26,6,FALSE)</x:f>
        <x:v>1</x:v>
      </x:c>
      <x:c r="F29" s="38" t="n">
        <x:f>D29*VLOOKUP(C29,'Upgrade'!$A$22:$K$26,7,FALSE)</x:f>
        <x:v>74</x:v>
      </x:c>
      <x:c r="G29" s="38" t="n">
        <x:f>$E$6/VLOOKUP(C29,'Upgrade'!$A$22:$K$26,3,FALSE)</x:f>
        <x:v>0.9</x:v>
      </x:c>
      <x:c r="H29" s="38" t="n">
        <x:f>$D$6*VLOOKUP(B29,'Upgrade'!$A$22:$K$26,4,FALSE)*VLOOKUP(C29,'Upgrade'!$A$22:$K$26,5,FALSE)</x:f>
        <x:v>218.4</x:v>
      </x:c>
      <x:c r="I29" s="39" t="n">
        <x:f>VLOOKUP(B29,'Upgrade'!$A$22:$K$26,8,FALSE)</x:f>
        <x:v>0.4</x:v>
      </x:c>
      <x:c r="J29" s="32" t="n">
        <x:f>VLOOKUP(B29,'Upgrade'!$A$22:$K$26,9,FALSE)</x:f>
        <x:v>84</x:v>
      </x:c>
      <x:c r="K29" s="38" t="n">
        <x:f>F29*E29/G29</x:f>
        <x:v>82.22222222222221</x:v>
      </x:c>
      <x:c r="L29" s="38" t="n">
        <x:f>MAX($H$6,F29-VLOOKUP("VoidGolem",'Monster'!$A$8:$K$13,7,FALSE))*E29/G29</x:f>
        <x:v>54.44444444444444</x:v>
      </x:c>
      <x:c r="M29" s="38" t="n">
        <x:f>MAX($H$6,F29-VLOOKUP("VoidGolem",'Monster'!$A$8:$K$13,8,FALSE))*E29/G29</x:f>
        <x:v>43.333333333333336</x:v>
      </x:c>
      <x:c r="N29" s="19" t="n">
        <x:f>$B$6+VLOOKUP(B29,'Upgrade'!$A$22:$K$26,10,FALSE)+VLOOKUP(C29,'Upgrade'!$A$22:$K$26,11,FALSE)</x:f>
        <x:v>4660</x:v>
      </x:c>
      <x:c r="O29" s="19" t="n">
        <x:f>ROUNDDOWN(N29*$I$6+0.00000001,0)</x:f>
        <x:v>3262</x:v>
      </x:c>
    </x:row>
    <x:row r="30" ht="23" customHeight="1">
      <x:c r="A30" s="14" t="str">
        <x:v>4-1</x:v>
      </x:c>
      <x:c r="B30" s="33" t="n">
        <x:v>4</x:v>
      </x:c>
      <x:c r="C30" s="33" t="n">
        <x:v>1</x:v>
      </x:c>
      <x:c r="D30" s="40" t="n">
        <x:f>$C$6*VLOOKUP(B30,'Upgrade'!$A$22:$K$26,2,FALSE)</x:f>
        <x:v>74</x:v>
      </x:c>
      <x:c r="E30" s="33" t="n">
        <x:f>VLOOKUP(C30,'Upgrade'!$A$22:$K$26,6,FALSE)</x:f>
        <x:v>1</x:v>
      </x:c>
      <x:c r="F30" s="40" t="n">
        <x:f>D30*VLOOKUP(C30,'Upgrade'!$A$22:$K$26,7,FALSE)</x:f>
        <x:v>74</x:v>
      </x:c>
      <x:c r="G30" s="40" t="n">
        <x:f>$E$6/VLOOKUP(C30,'Upgrade'!$A$22:$K$26,3,FALSE)</x:f>
        <x:v>0.8181818181818181</x:v>
      </x:c>
      <x:c r="H30" s="40" t="n">
        <x:f>$D$6*VLOOKUP(B30,'Upgrade'!$A$22:$K$26,4,FALSE)*VLOOKUP(C30,'Upgrade'!$A$22:$K$26,5,FALSE)</x:f>
        <x:v>218.4</x:v>
      </x:c>
      <x:c r="I30" s="41" t="n">
        <x:f>VLOOKUP(B30,'Upgrade'!$A$22:$K$26,8,FALSE)</x:f>
        <x:v>0.4</x:v>
      </x:c>
      <x:c r="J30" s="33" t="n">
        <x:f>VLOOKUP(B30,'Upgrade'!$A$22:$K$26,9,FALSE)</x:f>
        <x:v>84</x:v>
      </x:c>
      <x:c r="K30" s="40" t="n">
        <x:f>F30*E30/G30</x:f>
        <x:v>90.44444444444446</x:v>
      </x:c>
      <x:c r="L30" s="40" t="n">
        <x:f>MAX($H$6,F30-VLOOKUP("VoidGolem",'Monster'!$A$8:$K$13,7,FALSE))*E30/G30</x:f>
        <x:v>59.88888888888889</x:v>
      </x:c>
      <x:c r="M30" s="40" t="n">
        <x:f>MAX($H$6,F30-VLOOKUP("VoidGolem",'Monster'!$A$8:$K$13,8,FALSE))*E30/G30</x:f>
        <x:v>47.66666666666667</x:v>
      </x:c>
      <x:c r="N30" s="20" t="n">
        <x:f>$B$6+VLOOKUP(B30,'Upgrade'!$A$22:$K$26,10,FALSE)+VLOOKUP(C30,'Upgrade'!$A$22:$K$26,11,FALSE)</x:f>
        <x:v>4790</x:v>
      </x:c>
      <x:c r="O30" s="20" t="n">
        <x:f>ROUNDDOWN(N30*$I$6+0.00000001,0)</x:f>
        <x:v>3353</x:v>
      </x:c>
    </x:row>
    <x:row r="31" ht="23" customHeight="1">
      <x:c r="A31" s="3" t="str">
        <x:v>4-2</x:v>
      </x:c>
      <x:c r="B31" s="32" t="n">
        <x:v>4</x:v>
      </x:c>
      <x:c r="C31" s="32" t="n">
        <x:v>2</x:v>
      </x:c>
      <x:c r="D31" s="38" t="n">
        <x:f>$C$6*VLOOKUP(B31,'Upgrade'!$A$22:$K$26,2,FALSE)</x:f>
        <x:v>74</x:v>
      </x:c>
      <x:c r="E31" s="32" t="n">
        <x:f>VLOOKUP(C31,'Upgrade'!$A$22:$K$26,6,FALSE)</x:f>
        <x:v>1</x:v>
      </x:c>
      <x:c r="F31" s="38" t="n">
        <x:f>D31*VLOOKUP(C31,'Upgrade'!$A$22:$K$26,7,FALSE)</x:f>
        <x:v>74</x:v>
      </x:c>
      <x:c r="G31" s="38" t="n">
        <x:f>$E$6/VLOOKUP(C31,'Upgrade'!$A$22:$K$26,3,FALSE)</x:f>
        <x:v>0.7377049180327869</x:v>
      </x:c>
      <x:c r="H31" s="38" t="n">
        <x:f>$D$6*VLOOKUP(B31,'Upgrade'!$A$22:$K$26,4,FALSE)*VLOOKUP(C31,'Upgrade'!$A$22:$K$26,5,FALSE)</x:f>
        <x:v>227.13600000000002</x:v>
      </x:c>
      <x:c r="I31" s="39" t="n">
        <x:f>VLOOKUP(B31,'Upgrade'!$A$22:$K$26,8,FALSE)</x:f>
        <x:v>0.4</x:v>
      </x:c>
      <x:c r="J31" s="32" t="n">
        <x:f>VLOOKUP(B31,'Upgrade'!$A$22:$K$26,9,FALSE)</x:f>
        <x:v>84</x:v>
      </x:c>
      <x:c r="K31" s="38" t="n">
        <x:f>F31*E31/G31</x:f>
        <x:v>100.3111111111111</x:v>
      </x:c>
      <x:c r="L31" s="38" t="n">
        <x:f>MAX($H$6,F31-VLOOKUP("VoidGolem",'Monster'!$A$8:$K$13,7,FALSE))*E31/G31</x:f>
        <x:v>66.42222222222222</x:v>
      </x:c>
      <x:c r="M31" s="38" t="n">
        <x:f>MAX($H$6,F31-VLOOKUP("VoidGolem",'Monster'!$A$8:$K$13,8,FALSE))*E31/G31</x:f>
        <x:v>52.86666666666667</x:v>
      </x:c>
      <x:c r="N31" s="19" t="n">
        <x:f>$B$6+VLOOKUP(B31,'Upgrade'!$A$22:$K$26,10,FALSE)+VLOOKUP(C31,'Upgrade'!$A$22:$K$26,11,FALSE)</x:f>
        <x:v>5070</x:v>
      </x:c>
      <x:c r="O31" s="19" t="n">
        <x:f>ROUNDDOWN(N31*$I$6+0.00000001,0)</x:f>
        <x:v>3549</x:v>
      </x:c>
    </x:row>
    <x:row r="32" ht="23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</x:row>
    <x:row r="33" ht="23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</x:row>
    <x:row r="34" ht="23" customHeight="1">
      <x:c r="A34" s="6" t="str">
        <x:v>Armor mengurangi damage setiap hit. Minimum damage positif = 1, termasuk ketika armor lebih besar dari raw damage.</x:v>
      </x:c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</x:row>
    <x:row r="35" ht="23" customHeight="1">
      <x:c r="A35" s="6" t="str">
        <x:v>Build 2-4: Meteor 34,72 damage/projectile melawan armor 35 menjadi 1 damage/hit. Tidak ada critical damage.</x:v>
      </x:c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</x:row>
    <x:row r="36" ht="23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</x:row>
    <x:row r="37" ht="23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</x:row>
    <x:row r="38" ht="23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</x:row>
  </x:sheetData>
  <x:pageMargins left="0.7" right="0.7" top="0.75" bottom="0.75" header="0.3" footer="0.3"/>
  <x:tableParts count="2">
    <x:tablePart xmlns:r="http://schemas.openxmlformats.org/officeDocument/2006/relationships" r:id="R2bfd20788da44bfe"/>
    <x:tablePart xmlns:r="http://schemas.openxmlformats.org/officeDocument/2006/relationships" r:id="Rd7779679a1814644"/>
  </x:tableParts>
</x:worksheet>
</file>

<file path=xl/worksheets/sheet4.xml><?xml version="1.0" encoding="utf-8"?>
<x:worksheet xmlns:x="http://schemas.openxmlformats.org/spreadsheetml/2006/main">
  <x:sheetPr>
    <x:tabColor rgb="FF765794"/>
  </x:sheetPr>
  <x:sheetViews>
    <x:sheetView showGridLines="0" workbookViewId="0"/>
  </x:sheetViews>
  <x:sheetFormatPr defaultRowHeight="15"/>
  <x:cols>
    <x:col min="1" max="1" width="17.25" hidden="0" customWidth="1"/>
    <x:col min="2" max="2" width="12.5" hidden="0" customWidth="1"/>
    <x:col min="3" max="3" width="23.25" hidden="0" customWidth="1"/>
    <x:col min="4" max="4" width="14.130000114440918" hidden="0" customWidth="1"/>
    <x:col min="5" max="5" width="31.5" hidden="0" customWidth="1"/>
    <x:col min="6" max="6" width="13.880000114440918" hidden="0" customWidth="1"/>
    <x:col min="7" max="7" width="15.630000114440918" hidden="0" customWidth="1"/>
    <x:col min="8" max="8" width="13.5" hidden="0" customWidth="1"/>
    <x:col min="9" max="9" width="14.25" hidden="0" customWidth="1"/>
    <x:col min="10" max="10" width="16.6299991607666" hidden="0" customWidth="1"/>
    <x:col min="11" max="11" width="16.6299991607666" hidden="0" customWidth="1"/>
  </x:cols>
  <x:sheetData>
    <x:row r="1" ht="23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0" customHeight="1">
      <x:c r="A2" s="5" t="str">
        <x:v>Upgrade Star Cannon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23" customHeight="1">
      <x:c r="A3" s="6" t="str">
        <x:v>Jika satu jalur mencapai tier 3, jalur lain maksimal tier 2. Terdapat 21 kombinasi valid.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 ht="32" customHeight="1">
      <x:c r="A4" s="3" t="str">
        <x:v>Path 1</x:v>
      </x:c>
      <x:c r="B4" s="30" t="str">
        <x:v>STAR DESTROYER</x:v>
      </x:c>
      <x:c r="C4" s="3" t="str">
        <x:v>Path 2</x:v>
      </x:c>
      <x:c r="D4" s="30" t="str">
        <x:v>COSMIC BARRAGE</x:v>
      </x:c>
      <x:c r="E4" s="3"/>
      <x:c r="F4" s="3"/>
      <x:c r="G4" s="3"/>
      <x:c r="H4" s="3"/>
      <x:c r="I4" s="3"/>
      <x:c r="J4" s="3"/>
      <x:c r="K4" s="3"/>
    </x:row>
    <x:row r="5" ht="23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</x:row>
    <x:row r="6" ht="23" customHeight="1">
      <x:c r="A6" s="6" t="str">
        <x:v>Sumber: game-scene.json, StarCannonConfig.Paths dan tabel pengali.</x:v>
      </x:c>
      <x:c r="B6" s="3"/>
      <x:c r="C6" s="3"/>
      <x:c r="D6" s="3"/>
      <x:c r="E6" s="3"/>
      <x:c r="F6" s="3"/>
      <x:c r="G6" s="3"/>
      <x:c r="H6" s="3"/>
      <x:c r="I6" s="3"/>
      <x:c r="J6" s="3"/>
      <x:c r="K6" s="3"/>
    </x:row>
    <x:row r="7" ht="40" customHeight="1">
      <x:c r="A7" s="11" t="str">
        <x:v>Jalur</x:v>
      </x:c>
      <x:c r="B7" s="12" t="str">
        <x:v>Tier</x:v>
      </x:c>
      <x:c r="C7" s="12" t="str">
        <x:v>Nama upgrade</x:v>
      </x:c>
      <x:c r="D7" s="12" t="str">
        <x:v>Harga (Gold)</x:v>
      </x:c>
      <x:c r="E7" s="13" t="str">
        <x:v>Efek upgrade</x:v>
      </x:c>
      <x:c r="F7" s="3"/>
      <x:c r="G7" s="3"/>
      <x:c r="H7" s="3"/>
      <x:c r="I7" s="3"/>
      <x:c r="J7" s="3"/>
      <x:c r="K7" s="3"/>
    </x:row>
    <x:row r="8" ht="46" customHeight="1">
      <x:c r="A8" s="28" t="str">
        <x:v>STAR DESTROYER</x:v>
      </x:c>
      <x:c r="B8" s="32" t="n">
        <x:v>1</x:v>
      </x:c>
      <x:c r="C8" s="28" t="str">
        <x:v>REINFORCED CORE</x:v>
      </x:c>
      <x:c r="D8" s="23" t="n">
        <x:v>160</x:v>
      </x:c>
      <x:c r="E8" s="28" t="str">
        <x:v>Damage: 50 -&gt; 56</x:v>
      </x:c>
      <x:c r="F8" s="3"/>
      <x:c r="G8" s="3"/>
      <x:c r="H8" s="3"/>
      <x:c r="I8" s="3"/>
      <x:c r="J8" s="3"/>
      <x:c r="K8" s="3"/>
    </x:row>
    <x:row r="9" ht="46" customHeight="1">
      <x:c r="A9" s="31" t="str">
        <x:v>STAR DESTROYER</x:v>
      </x:c>
      <x:c r="B9" s="33" t="n">
        <x:v>2</x:v>
      </x:c>
      <x:c r="C9" s="31" t="str">
        <x:v>HEAVY IMPACT</x:v>
      </x:c>
      <x:c r="D9" s="24" t="n">
        <x:v>300</x:v>
      </x:c>
      <x:c r="E9" s="31" t="str">
        <x:v>Damage: 56 -&gt; 62; Range +4%</x:v>
      </x:c>
      <x:c r="F9" s="3"/>
      <x:c r="G9" s="3"/>
      <x:c r="H9" s="3"/>
      <x:c r="I9" s="3"/>
      <x:c r="J9" s="3"/>
      <x:c r="K9" s="3"/>
    </x:row>
    <x:row r="10" ht="46" customHeight="1">
      <x:c r="A10" s="28" t="str">
        <x:v>STAR DESTROYER</x:v>
      </x:c>
      <x:c r="B10" s="32" t="n">
        <x:v>3</x:v>
      </x:c>
      <x:c r="C10" s="28" t="str">
        <x:v>STAR EXPLOSION</x:v>
      </x:c>
      <x:c r="D10" s="23" t="n">
        <x:v>1100</x:v>
      </x:c>
      <x:c r="E10" s="28" t="str">
        <x:v>25% splash; 64-unit radius</x:v>
      </x:c>
      <x:c r="F10" s="3"/>
      <x:c r="G10" s="3"/>
      <x:c r="H10" s="3"/>
      <x:c r="I10" s="3"/>
      <x:c r="J10" s="3"/>
      <x:c r="K10" s="3"/>
    </x:row>
    <x:row r="11" ht="46" customHeight="1">
      <x:c r="A11" s="31" t="str">
        <x:v>STAR DESTROYER</x:v>
      </x:c>
      <x:c r="B11" s="33" t="n">
        <x:v>4</x:v>
      </x:c>
      <x:c r="C11" s="31" t="str">
        <x:v>SUPERNOVA</x:v>
      </x:c>
      <x:c r="D11" s="24" t="n">
        <x:v>2800</x:v>
      </x:c>
      <x:c r="E11" s="31" t="str">
        <x:v>Damage: 62 -&gt; 74; 40% splash; 84-unit radius</x:v>
      </x:c>
      <x:c r="F11" s="3"/>
      <x:c r="G11" s="3"/>
      <x:c r="H11" s="3"/>
      <x:c r="I11" s="3"/>
      <x:c r="J11" s="3"/>
      <x:c r="K11" s="3"/>
    </x:row>
    <x:row r="12" ht="46" customHeight="1">
      <x:c r="A12" s="28" t="str">
        <x:v>COSMIC BARRAGE</x:v>
      </x:c>
      <x:c r="B12" s="32" t="n">
        <x:v>1</x:v>
      </x:c>
      <x:c r="C12" s="28" t="str">
        <x:v>RAPID FIRE</x:v>
      </x:c>
      <x:c r="D12" s="23" t="n">
        <x:v>130</x:v>
      </x:c>
      <x:c r="E12" s="28" t="str">
        <x:v>Attack speed +10%</x:v>
      </x:c>
      <x:c r="F12" s="3"/>
      <x:c r="G12" s="3"/>
      <x:c r="H12" s="3"/>
      <x:c r="I12" s="3"/>
      <x:c r="J12" s="3"/>
      <x:c r="K12" s="3"/>
    </x:row>
    <x:row r="13" ht="46" customHeight="1">
      <x:c r="A13" s="31" t="str">
        <x:v>COSMIC BARRAGE</x:v>
      </x:c>
      <x:c r="B13" s="33" t="n">
        <x:v>2</x:v>
      </x:c>
      <x:c r="C13" s="31" t="str">
        <x:v>PRECISION CORE</x:v>
      </x:c>
      <x:c r="D13" s="24" t="n">
        <x:v>280</x:v>
      </x:c>
      <x:c r="E13" s="31" t="str">
        <x:v>Attack speed: +22% total; Range +4%</x:v>
      </x:c>
      <x:c r="F13" s="3"/>
      <x:c r="G13" s="3"/>
      <x:c r="H13" s="3"/>
      <x:c r="I13" s="3"/>
      <x:c r="J13" s="3"/>
      <x:c r="K13" s="3"/>
    </x:row>
    <x:row r="14" ht="46" customHeight="1">
      <x:c r="A14" s="28" t="str">
        <x:v>COSMIC BARRAGE</x:v>
      </x:c>
      <x:c r="B14" s="32" t="n">
        <x:v>3</x:v>
      </x:c>
      <x:c r="C14" s="28" t="str">
        <x:v>TWIN STAR</x:v>
      </x:c>
      <x:c r="D14" s="23" t="n">
        <x:v>1000</x:v>
      </x:c>
      <x:c r="E14" s="28" t="str">
        <x:v>2 shots; 62% damage each</x:v>
      </x:c>
      <x:c r="F14" s="3"/>
      <x:c r="G14" s="3"/>
      <x:c r="H14" s="3"/>
      <x:c r="I14" s="3"/>
      <x:c r="J14" s="3"/>
      <x:c r="K14" s="3"/>
    </x:row>
    <x:row r="15" ht="46" customHeight="1">
      <x:c r="A15" s="31" t="str">
        <x:v>COSMIC BARRAGE</x:v>
      </x:c>
      <x:c r="B15" s="33" t="n">
        <x:v>4</x:v>
      </x:c>
      <x:c r="C15" s="31" t="str">
        <x:v>METEOR BARRAGE</x:v>
      </x:c>
      <x:c r="D15" s="24" t="n">
        <x:v>2500</x:v>
      </x:c>
      <x:c r="E15" s="31" t="str">
        <x:v>3 shots; 56% damage each</x:v>
      </x:c>
      <x:c r="F15" s="3"/>
      <x:c r="G15" s="3"/>
      <x:c r="H15" s="3"/>
      <x:c r="I15" s="3"/>
      <x:c r="J15" s="3"/>
      <x:c r="K15" s="3"/>
    </x:row>
    <x:row r="16" ht="23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</x:row>
    <x:row r="17" ht="23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</x:row>
    <x:row r="18" ht="23" customHeight="1">
      <x:c r="A18" s="25" t="str">
        <x:v>Pengali dan biaya kumulatif per tier</x:v>
      </x:c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</x:row>
    <x:row r="19" ht="23" customHeight="1">
      <x:c r="A19" s="6" t="str">
        <x:v>Gunakan tier Path 1 untuk damage/splash, dan tier Path 2 untuk speed/jumlah projectile/fraksi damage.</x:v>
      </x:c>
      <x:c r="B19" s="3"/>
      <x:c r="C19" s="3"/>
      <x:c r="D19" s="3"/>
      <x:c r="E19" s="3"/>
      <x:c r="F19" s="3"/>
      <x:c r="G19" s="3"/>
      <x:c r="H19" s="3"/>
      <x:c r="I19" s="3"/>
      <x:c r="J19" s="3"/>
      <x:c r="K19" s="3"/>
    </x:row>
    <x:row r="20" ht="23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</x:row>
    <x:row r="21" ht="40" customHeight="1">
      <x:c r="A21" s="11" t="str">
        <x:v>Tier</x:v>
      </x:c>
      <x:c r="B21" s="12" t="str">
        <x:v>Damage x</x:v>
      </x:c>
      <x:c r="C21" s="12" t="str">
        <x:v>Atk speed x</x:v>
      </x:c>
      <x:c r="D21" s="12" t="str">
        <x:v>Range P1 x</x:v>
      </x:c>
      <x:c r="E21" s="12" t="str">
        <x:v>Range P2 x</x:v>
      </x:c>
      <x:c r="F21" s="12" t="str">
        <x:v>Jumlah shot</x:v>
      </x:c>
      <x:c r="G21" s="12" t="str">
        <x:v>Damage fraksi</x:v>
      </x:c>
      <x:c r="H21" s="12" t="str">
        <x:v>Splash %</x:v>
      </x:c>
      <x:c r="I21" s="12" t="str">
        <x:v>Splash radius</x:v>
      </x:c>
      <x:c r="J21" s="12" t="str">
        <x:v>Gold P1 kumulatif</x:v>
      </x:c>
      <x:c r="K21" s="13" t="str">
        <x:v>Gold P2 kumulatif</x:v>
      </x:c>
    </x:row>
    <x:row r="22" ht="23" customHeight="1">
      <x:c r="A22" s="32" t="n">
        <x:v>0</x:v>
      </x:c>
      <x:c r="B22" s="38" t="n">
        <x:v>1</x:v>
      </x:c>
      <x:c r="C22" s="38" t="n">
        <x:v>1</x:v>
      </x:c>
      <x:c r="D22" s="38" t="n">
        <x:v>1</x:v>
      </x:c>
      <x:c r="E22" s="38" t="n">
        <x:v>1</x:v>
      </x:c>
      <x:c r="F22" s="32" t="n">
        <x:v>1</x:v>
      </x:c>
      <x:c r="G22" s="39" t="n">
        <x:v>1</x:v>
      </x:c>
      <x:c r="H22" s="39" t="n">
        <x:v>0</x:v>
      </x:c>
      <x:c r="I22" s="19" t="n">
        <x:v>0</x:v>
      </x:c>
      <x:c r="J22" s="19" t="n">
        <x:f>SUMIFS($D$8:$D$15,$A$8:$A$15,$B$4,$B$8:$B$15,"&lt;="&amp;A22)</x:f>
        <x:v>0</x:v>
      </x:c>
      <x:c r="K22" s="19" t="n">
        <x:f>SUMIFS($D$8:$D$15,$A$8:$A$15,$D$4,$B$8:$B$15,"&lt;="&amp;A22)</x:f>
        <x:v>0</x:v>
      </x:c>
    </x:row>
    <x:row r="23" ht="23" customHeight="1">
      <x:c r="A23" s="33" t="n">
        <x:v>1</x:v>
      </x:c>
      <x:c r="B23" s="40" t="n">
        <x:v>1.12</x:v>
      </x:c>
      <x:c r="C23" s="40" t="n">
        <x:v>1.1</x:v>
      </x:c>
      <x:c r="D23" s="40" t="n">
        <x:v>1</x:v>
      </x:c>
      <x:c r="E23" s="40" t="n">
        <x:v>1</x:v>
      </x:c>
      <x:c r="F23" s="33" t="n">
        <x:v>1</x:v>
      </x:c>
      <x:c r="G23" s="41" t="n">
        <x:v>1</x:v>
      </x:c>
      <x:c r="H23" s="41" t="n">
        <x:v>0</x:v>
      </x:c>
      <x:c r="I23" s="20" t="n">
        <x:v>0</x:v>
      </x:c>
      <x:c r="J23" s="20" t="n">
        <x:f>SUMIFS($D$8:$D$15,$A$8:$A$15,$B$4,$B$8:$B$15,"&lt;="&amp;A23)</x:f>
        <x:v>160</x:v>
      </x:c>
      <x:c r="K23" s="20" t="n">
        <x:f>SUMIFS($D$8:$D$15,$A$8:$A$15,$D$4,$B$8:$B$15,"&lt;="&amp;A23)</x:f>
        <x:v>130</x:v>
      </x:c>
    </x:row>
    <x:row r="24" ht="23" customHeight="1">
      <x:c r="A24" s="32" t="n">
        <x:v>2</x:v>
      </x:c>
      <x:c r="B24" s="38" t="n">
        <x:v>1.24</x:v>
      </x:c>
      <x:c r="C24" s="38" t="n">
        <x:v>1.22</x:v>
      </x:c>
      <x:c r="D24" s="38" t="n">
        <x:v>1.04</x:v>
      </x:c>
      <x:c r="E24" s="38" t="n">
        <x:v>1.04</x:v>
      </x:c>
      <x:c r="F24" s="32" t="n">
        <x:v>1</x:v>
      </x:c>
      <x:c r="G24" s="39" t="n">
        <x:v>1</x:v>
      </x:c>
      <x:c r="H24" s="39" t="n">
        <x:v>0</x:v>
      </x:c>
      <x:c r="I24" s="19" t="n">
        <x:v>0</x:v>
      </x:c>
      <x:c r="J24" s="19" t="n">
        <x:f>SUMIFS($D$8:$D$15,$A$8:$A$15,$B$4,$B$8:$B$15,"&lt;="&amp;A24)</x:f>
        <x:v>460</x:v>
      </x:c>
      <x:c r="K24" s="19" t="n">
        <x:f>SUMIFS($D$8:$D$15,$A$8:$A$15,$D$4,$B$8:$B$15,"&lt;="&amp;A24)</x:f>
        <x:v>410</x:v>
      </x:c>
    </x:row>
    <x:row r="25" ht="23" customHeight="1">
      <x:c r="A25" s="33" t="n">
        <x:v>3</x:v>
      </x:c>
      <x:c r="B25" s="40" t="n">
        <x:v>1.24</x:v>
      </x:c>
      <x:c r="C25" s="40" t="n">
        <x:v>1.22</x:v>
      </x:c>
      <x:c r="D25" s="40" t="n">
        <x:v>1.04</x:v>
      </x:c>
      <x:c r="E25" s="40" t="n">
        <x:v>1.04</x:v>
      </x:c>
      <x:c r="F25" s="33" t="n">
        <x:v>2</x:v>
      </x:c>
      <x:c r="G25" s="41" t="n">
        <x:v>0.62</x:v>
      </x:c>
      <x:c r="H25" s="41" t="n">
        <x:v>0.25</x:v>
      </x:c>
      <x:c r="I25" s="20" t="n">
        <x:v>64</x:v>
      </x:c>
      <x:c r="J25" s="20" t="n">
        <x:f>SUMIFS($D$8:$D$15,$A$8:$A$15,$B$4,$B$8:$B$15,"&lt;="&amp;A25)</x:f>
        <x:v>1560</x:v>
      </x:c>
      <x:c r="K25" s="20" t="n">
        <x:f>SUMIFS($D$8:$D$15,$A$8:$A$15,$D$4,$B$8:$B$15,"&lt;="&amp;A25)</x:f>
        <x:v>1410</x:v>
      </x:c>
    </x:row>
    <x:row r="26" ht="23" customHeight="1">
      <x:c r="A26" s="32" t="n">
        <x:v>4</x:v>
      </x:c>
      <x:c r="B26" s="38" t="n">
        <x:v>1.48</x:v>
      </x:c>
      <x:c r="C26" s="38" t="n">
        <x:v>1.22</x:v>
      </x:c>
      <x:c r="D26" s="38" t="n">
        <x:v>1.04</x:v>
      </x:c>
      <x:c r="E26" s="38" t="n">
        <x:v>1.04</x:v>
      </x:c>
      <x:c r="F26" s="32" t="n">
        <x:v>3</x:v>
      </x:c>
      <x:c r="G26" s="39" t="n">
        <x:v>0.56</x:v>
      </x:c>
      <x:c r="H26" s="39" t="n">
        <x:v>0.4</x:v>
      </x:c>
      <x:c r="I26" s="19" t="n">
        <x:v>84</x:v>
      </x:c>
      <x:c r="J26" s="19" t="n">
        <x:f>SUMIFS($D$8:$D$15,$A$8:$A$15,$B$4,$B$8:$B$15,"&lt;="&amp;A26)</x:f>
        <x:v>4360</x:v>
      </x:c>
      <x:c r="K26" s="19" t="n">
        <x:f>SUMIFS($D$8:$D$15,$A$8:$A$15,$D$4,$B$8:$B$15,"&lt;="&amp;A26)</x:f>
        <x:v>3910</x:v>
      </x:c>
    </x:row>
    <x:row r="27" ht="23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</x:row>
    <x:row r="28" ht="23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</x:row>
    <x:row r="29" ht="23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</x:row>
    <x:row r="30" ht="23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</x:row>
  </x:sheetData>
  <x:pageMargins left="0.7" right="0.7" top="0.75" bottom="0.75" header="0.3" footer="0.3"/>
  <x:tableParts count="2">
    <x:tablePart xmlns:r="http://schemas.openxmlformats.org/officeDocument/2006/relationships" r:id="R5665c9d139204fb6"/>
    <x:tablePart xmlns:r="http://schemas.openxmlformats.org/officeDocument/2006/relationships" r:id="R3921f77d0ea04611"/>
  </x:tableParts>
</x:worksheet>
</file>